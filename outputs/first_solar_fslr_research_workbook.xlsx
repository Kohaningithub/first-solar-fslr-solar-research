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drawings/charts/chart4.xml" ContentType="application/vnd.openxmlformats-officedocument.drawingml.char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drawings/charts/chart5.xml" ContentType="application/vnd.openxmlformats-officedocument.drawingml.char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d65badee4f4d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ee92c6bd788473d"/>
    <x:sheet xmlns:r="http://schemas.openxmlformats.org/officeDocument/2006/relationships" name="Financials KPIs" sheetId="2" r:id="R5986b72791b842e9"/>
    <x:sheet xmlns:r="http://schemas.openxmlformats.org/officeDocument/2006/relationships" name="Valuation" sheetId="3" r:id="Red943189d442493c"/>
    <x:sheet xmlns:r="http://schemas.openxmlformats.org/officeDocument/2006/relationships" name="Peers" sheetId="4" r:id="Rd6ac2b3e4164475d"/>
    <x:sheet xmlns:r="http://schemas.openxmlformats.org/officeDocument/2006/relationships" name="Market Reaction" sheetId="5" r:id="Ra44439fdaf8a48a5"/>
    <x:sheet xmlns:r="http://schemas.openxmlformats.org/officeDocument/2006/relationships" name="Catalysts Policy Risks" sheetId="6" r:id="Rdcb6f1501b1149cf"/>
    <x:sheet xmlns:r="http://schemas.openxmlformats.org/officeDocument/2006/relationships" name="Research Path" sheetId="7" r:id="R17dc5d9a6b734a45"/>
    <x:sheet xmlns:r="http://schemas.openxmlformats.org/officeDocument/2006/relationships" name="Sources" sheetId="8" r:id="R780936637bcc41fd"/>
    <x:sheet xmlns:r="http://schemas.openxmlformats.org/officeDocument/2006/relationships" name="Checks" sheetId="9" r:id="R4b40306d70af46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200" formatCode="$0.00"/>
    <x:numFmt numFmtId="201" formatCode="$0.0bn"/>
    <x:numFmt numFmtId="202" formatCode="0.0x"/>
    <x:numFmt numFmtId="203" formatCode="$0.00/W"/>
    <x:numFmt numFmtId="204" formatCode="$#,##0"/>
    <x:numFmt numFmtId="205" formatCode="$0"/>
    <x:numFmt numFmtId="206" formatCode="0.0%"/>
    <x:numFmt numFmtId="207" formatCode="#,##0.0"/>
    <x:numFmt numFmtId="208" formatCode="0.00"/>
    <x:numFmt numFmtId="209" formatCode="0.0"/>
  </x:numFmts>
  <x:fonts count="8">
    <x:font>
      <x:sz val="11"/>
      <x:name val="Carlito"/>
    </x:font>
    <x:font>
      <x:sz val="11"/>
      <x:name val="Microsoft YaHei"/>
    </x:font>
    <x:font>
      <x:b/>
      <x:sz val="16"/>
      <x:color rgb="FFFFFFFF"/>
      <x:name val="Microsoft YaHei"/>
    </x:font>
    <x:font>
      <x:sz val="10"/>
      <x:color rgb="FF6B746F"/>
      <x:name val="Microsoft YaHei"/>
    </x:font>
    <x:font>
      <x:b/>
      <x:sz val="11"/>
      <x:color rgb="FFFFFFFF"/>
      <x:name val="Microsoft YaHei"/>
    </x:font>
    <x:font>
      <x:sz val="11"/>
      <x:color rgb="FF10231F"/>
      <x:name val="Microsoft YaHei"/>
    </x:font>
    <x:font>
      <x:b/>
      <x:sz val="11"/>
      <x:color rgb="FFFFFFFF"/>
      <x:name val="Carlito"/>
    </x:font>
    <x:font>
      <x:sz val="11"/>
      <x:color rgb="FF10231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E7C66"/>
      </x:patternFill>
    </x:fill>
    <x:fill>
      <x:patternFill patternType="solid">
        <x:fgColor rgb="FFF6F7F2"/>
      </x:patternFill>
    </x:fill>
    <x:fill>
      <x:patternFill patternType="solid">
        <x:fgColor rgb="FF365F91"/>
      </x:patternFill>
    </x:fill>
    <x:fill>
      <x:patternFill patternType="solid">
        <x:fgColor rgb="FFFFFFFF"/>
      </x:patternFill>
    </x:fill>
  </x:fills>
  <x:borders count="1">
    <x:border/>
  </x:borders>
  <x:cellStyleXfs count="1">
    <x:xf numFmtId="0" fontId="0" fillId="0" borderId="0"/>
  </x:cellStyleXfs>
  <x:cellXfs count="3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vertical="top"/>
    </x:xf>
    <x:xf numFmtId="0" fontId="1" fillId="3" borderId="0" xfId="0" applyNumberFormat="1" applyFont="1" applyFill="1" applyBorder="1" applyAlignment="1">
      <x:alignment vertical="top"/>
    </x:xf>
    <x:xf numFmtId="0" fontId="3" fillId="3" borderId="0" xfId="0" applyNumberFormat="1" applyFont="1" applyFill="1" applyBorder="1" applyAlignment="1">
      <x:alignment vertical="top"/>
    </x:xf>
    <x:xf numFmtId="0" fontId="4" fillId="2" borderId="0" xfId="0" applyNumberFormat="1" applyFont="1" applyFill="1" applyBorder="1" applyAlignment="1">
      <x:alignment vertical="top"/>
    </x:xf>
    <x:xf numFmtId="200" fontId="1" fillId="0" borderId="0" xfId="0" applyNumberFormat="1" applyFont="1" applyFill="1" applyBorder="1" applyAlignment="1">
      <x:alignment vertical="top"/>
    </x:xf>
    <x:xf numFmtId="201" fontId="1" fillId="0" borderId="0" xfId="0" applyNumberFormat="1" applyFont="1" applyFill="1" applyBorder="1" applyAlignment="1">
      <x:alignment vertical="top"/>
    </x:xf>
    <x:xf numFmtId="202" fontId="1" fillId="0" borderId="0" xfId="0" applyNumberFormat="1" applyFont="1" applyFill="1" applyBorder="1" applyAlignment="1">
      <x:alignment vertical="top"/>
    </x:xf>
    <x:xf numFmtId="203" fontId="1" fillId="0" borderId="0" xfId="0" applyNumberFormat="1" applyFont="1" applyFill="1" applyBorder="1" applyAlignment="1">
      <x:alignment vertical="top"/>
    </x:xf>
    <x:xf numFmtId="0" fontId="1" fillId="4" borderId="0" xfId="0" applyNumberFormat="1" applyFont="1" applyFill="1" applyBorder="1" applyAlignment="1">
      <x:alignment vertical="top"/>
    </x:xf>
    <x:xf numFmtId="0" fontId="4" fillId="4" borderId="0" xfId="0" applyNumberFormat="1" applyFont="1" applyFill="1" applyBorder="1" applyAlignment="1">
      <x:alignment vertical="top"/>
    </x:xf>
    <x:xf numFmtId="204" fontId="1" fillId="0" borderId="0" xfId="0" applyNumberFormat="1" applyFont="1" applyFill="1" applyBorder="1" applyAlignment="1">
      <x:alignment vertical="top"/>
    </x:xf>
    <x:xf numFmtId="205" fontId="1" fillId="0" borderId="0" xfId="0" applyNumberFormat="1" applyFont="1" applyFill="1" applyBorder="1" applyAlignment="1">
      <x:alignment vertical="top"/>
    </x:xf>
    <x:xf numFmtId="206" fontId="1" fillId="0" borderId="0" xfId="0" applyNumberFormat="1" applyFont="1" applyFill="1" applyBorder="1" applyAlignment="1">
      <x:alignment vertical="top"/>
    </x:xf>
    <x:xf numFmtId="0" fontId="1" fillId="5" borderId="0" xfId="0" applyNumberFormat="1" applyFont="1" applyFill="1" applyBorder="1" applyAlignment="1">
      <x:alignment vertical="top"/>
    </x:xf>
    <x:xf numFmtId="0" fontId="5" fillId="5" borderId="0" xfId="0" applyNumberFormat="1" applyFont="1" applyFill="1" applyBorder="1" applyAlignment="1">
      <x:alignment vertical="top"/>
    </x:xf>
    <x:xf numFmtId="0" fontId="4" fillId="2" borderId="0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 applyAlignment="1">
      <x:alignment vertical="top" wrapText="1"/>
    </x:xf>
    <x:xf numFmtId="207" fontId="5" fillId="5" borderId="0" xfId="0" applyNumberFormat="1" applyFont="1" applyFill="1" applyBorder="1" applyAlignment="1">
      <x:alignment vertical="top" wrapText="1"/>
    </x:xf>
    <x:xf numFmtId="208" fontId="1" fillId="0" borderId="0" xfId="0" applyNumberFormat="1" applyFont="1" applyFill="1" applyBorder="1" applyAlignment="1">
      <x:alignment vertical="top"/>
    </x:xf>
    <x:xf numFmtId="209" fontId="1" fillId="0" borderId="0" xfId="0" applyNumberFormat="1" applyFont="1" applyFill="1" applyBorder="1" applyAlignment="1">
      <x:alignment vertical="top"/>
    </x:xf>
    <x:xf numFmtId="0" fontId="0" fillId="2" borderId="0" xfId="0" applyNumberFormat="1" applyFont="1" applyFill="1" applyBorder="1"/>
    <x:xf numFmtId="0" fontId="6" fillId="2" borderId="0" xfId="0" applyNumberFormat="1" applyFont="1" applyFill="1" applyBorder="1"/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6" fillId="2" borderId="0" xfId="0" applyNumberFormat="1" applyFont="1" applyFill="1" applyBorder="1" applyAlignment="1">
      <x:alignment wrapText="1"/>
    </x:xf>
    <x:xf numFmtId="0" fontId="7" fillId="5" borderId="0" xfId="0" applyNumberFormat="1" applyFont="1" applyFill="1" applyBorder="1" applyAlignment="1">
      <x:alignment wrapText="1"/>
    </x:xf>
    <x:xf numFmtId="208" fontId="5" fillId="5" borderId="0" xfId="0" applyNumberFormat="1" applyFont="1" applyFill="1" applyBorder="1" applyAlignment="1">
      <x:alignment vertical="top" wrapText="1"/>
    </x:xf>
    <x:xf numFmtId="208" fontId="7" fillId="5" borderId="0" xfId="0" applyNumberFormat="1" applyFont="1" applyFill="1" applyBorder="1" applyAlignment="1">
      <x:alignment wrapText="1"/>
    </x:xf>
    <x:xf numFmtId="208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6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d81921af904a68" /><Relationship Type="http://schemas.openxmlformats.org/officeDocument/2006/relationships/theme" Target="/xl/theme/theme1.xml" Id="R391c651a8dc04df3" /><Relationship Type="http://schemas.openxmlformats.org/officeDocument/2006/relationships/sharedStrings" Target="/xl/sharedStrings.xml" Id="Rd97cb1a7a7f146d7" /><Relationship Type="http://schemas.openxmlformats.org/officeDocument/2006/relationships/worksheet" Target="/xl/worksheets/sheet1.xml" Id="Raee92c6bd788473d" /><Relationship Type="http://schemas.openxmlformats.org/officeDocument/2006/relationships/worksheet" Target="/xl/worksheets/sheet2.xml" Id="R5986b72791b842e9" /><Relationship Type="http://schemas.openxmlformats.org/officeDocument/2006/relationships/worksheet" Target="/xl/worksheets/sheet3.xml" Id="Red943189d442493c" /><Relationship Type="http://schemas.openxmlformats.org/officeDocument/2006/relationships/worksheet" Target="/xl/worksheets/sheet4.xml" Id="Rd6ac2b3e4164475d" /><Relationship Type="http://schemas.openxmlformats.org/officeDocument/2006/relationships/worksheet" Target="/xl/worksheets/sheet5.xml" Id="Ra44439fdaf8a48a5" /><Relationship Type="http://schemas.openxmlformats.org/officeDocument/2006/relationships/worksheet" Target="/xl/worksheets/sheet6.xml" Id="Rdcb6f1501b1149cf" /><Relationship Type="http://schemas.openxmlformats.org/officeDocument/2006/relationships/worksheet" Target="/xl/worksheets/sheet7.xml" Id="R17dc5d9a6b734a45" /><Relationship Type="http://schemas.openxmlformats.org/officeDocument/2006/relationships/worksheet" Target="/xl/worksheets/sheet8.xml" Id="R780936637bcc41fd" /><Relationship Type="http://schemas.openxmlformats.org/officeDocument/2006/relationships/worksheet" Target="/xl/worksheets/sheet9.xml" Id="R4b40306d70af466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2c584db0cef43d2" /><Relationship Type="http://schemas.openxmlformats.org/officeDocument/2006/relationships/chart" Target="/xl/drawings/charts/chart2.xml" Id="R7c3add9e18114ab3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14a6b54ca68f4a11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69b7dcec84d74e63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7b7056e847194a5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Revenue and Gross Profit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Net Sales</c:v>
          </c:tx>
          <c:cat>
            <c:strRef>
              <c:f>'Summary'!$D$5:$D$8</c:f>
              <c:strCache>
                <c:ptCount val="0"/>
              </c:strCache>
            </c:strRef>
          </c:cat>
          <c:val>
            <c:numRef>
              <c:f>'Summary'!$E$5:$E$8</c:f>
              <c:numCache>
                <c:formatCode>$#,##0</c:formatCode>
                <c:ptCount val="0"/>
              </c:numCache>
            </c:numRef>
          </c:val>
        </c:ser>
        <c:ser>
          <c:idx val="1"/>
          <c:order val="1"/>
          <c:tx>
            <c:v>Gross Profit</c:v>
          </c:tx>
          <c:cat>
            <c:strRef>
              <c:f>'Summary'!$D$5:$D$8</c:f>
              <c:strCache>
                <c:ptCount val="0"/>
              </c:strCache>
            </c:strRef>
          </c:cat>
          <c:val>
            <c:numRef>
              <c:f>'Summary'!$F$5:$F$8</c:f>
              <c:numCache>
                <c:formatCode>$#,##0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Scenario Implied Price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Implied Price</c:v>
          </c:tx>
          <c:cat>
            <c:strRef>
              <c:f>'Summary'!$D$13:$D$15</c:f>
              <c:strCache>
                <c:ptCount val="0"/>
              </c:strCache>
            </c:strRef>
          </c:cat>
          <c:val>
            <c:numRef>
              <c:f>'Summary'!$E$13:$E$15</c:f>
              <c:numCache>
                <c:formatCode>$0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Volume and Backlog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Value</c:v>
          </c:tx>
          <c:cat>
            <c:strRef>
              <c:f>'Financials KPIs'!$L$5:$L$8</c:f>
              <c:strCache>
                <c:ptCount val="0"/>
              </c:strCache>
            </c:strRef>
          </c:cat>
          <c:val>
            <c:numRef>
              <c:f>'Financials KPIs'!$M$5:$M$8</c:f>
              <c:numCache>
                <c:formatCode>0.0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Scenario Value Range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Implied Price</c:v>
          </c:tx>
          <c:cat>
            <c:strRef>
              <c:f>'Valuation'!$I$5:$I$7</c:f>
              <c:strCache>
                <c:ptCount val="0"/>
              </c:strCache>
            </c:strRef>
          </c:cat>
          <c:val>
            <c:numRef>
              <c:f>'Valuation'!$J$5:$J$7</c:f>
              <c:numCache>
                <c:formatCode>$0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FSLR Alpha vs TAN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Alpha</c:v>
          </c:tx>
          <c:cat>
            <c:strRef>
              <c:f>'Market Reaction'!$O$5:$O$10</c:f>
              <c:strCache>
                <c:ptCount val="0"/>
              </c:strCache>
            </c:strRef>
          </c:cat>
          <c:val>
            <c:numRef>
              <c:f>'Market Reaction'!$P$5:$P$10</c:f>
              <c:numCache>
                <c:formatCode>0.0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3</xdr:row>
      <xdr:rowOff>0</xdr:rowOff>
    </xdr:from>
    <xdr:to>
      <xdr:col>14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2c584db0cef43d2"/>
        </a:graphicData>
      </a:graphic>
    </xdr:graphicFrame>
    <xdr:clientData/>
  </xdr:twoCellAnchor>
  <xdr:twoCellAnchor>
    <xdr:from>
      <xdr:col>7</xdr:col>
      <xdr:colOff>0</xdr:colOff>
      <xdr:row>20</xdr:row>
      <xdr:rowOff>0</xdr:rowOff>
    </xdr:from>
    <xdr:to>
      <xdr:col>14</xdr:col>
      <xdr:colOff>0</xdr:colOff>
      <xdr:row>36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c3add9e18114ab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11</xdr:col>
      <xdr:colOff>0</xdr:colOff>
      <xdr:row>10</xdr:row>
      <xdr:rowOff>0</xdr:rowOff>
    </xdr:from>
    <xdr:to>
      <xdr:col>18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4a6b54ca68f4a1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8</xdr:col>
      <xdr:colOff>0</xdr:colOff>
      <xdr:row>9</xdr:row>
      <xdr:rowOff>0</xdr:rowOff>
    </xdr:from>
    <xdr:to>
      <xdr:col>15</xdr:col>
      <xdr:colOff>0</xdr:colOff>
      <xdr:row>26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9b7dcec84d74e6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14</xdr:col>
      <xdr:colOff>0</xdr:colOff>
      <xdr:row>12</xdr:row>
      <xdr:rowOff>0</xdr:rowOff>
    </xdr:from>
    <xdr:to>
      <xdr:col>21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b7056e847194a5c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FinancialsKpisTable" displayName="FinancialsKpisTable" ref="A4:K21" headerRowCount="1">
  <x:autoFilter ref="A4:K21"/>
  <x:tableColumns count="11">
    <x:tableColumn id="1" name="category"/>
    <x:tableColumn id="2" name="metric"/>
    <x:tableColumn id="3" name="unit"/>
    <x:tableColumn id="4" name="2023A"/>
    <x:tableColumn id="5" name="2024A"/>
    <x:tableColumn id="6" name="2025A"/>
    <x:tableColumn id="7" name="Q1_2025A"/>
    <x:tableColumn id="8" name="Q1_2026A"/>
    <x:tableColumn id="9" name="FY2026_guidance_mid"/>
    <x:tableColumn id="10" name="source_id"/>
    <x:tableColumn id="11" name="note"/>
  </x:tableColumns>
  <x:tableStyleInfo name="TableStyleMedium2" showRowStripes="1"/>
</x:table>
</file>

<file path=xl/tables/table2.xml><?xml version="1.0" encoding="utf-8"?>
<x:table xmlns:x="http://schemas.openxmlformats.org/spreadsheetml/2006/main" id="2" name="PeersTable" displayName="PeersTable" ref="A4:S13" headerRowCount="1">
  <x:autoFilter ref="A4:S13"/>
  <x:tableColumns count="19">
    <x:tableColumn id="1" name="ticker"/>
    <x:tableColumn id="2" name="company"/>
    <x:tableColumn id="3" name="segment"/>
    <x:tableColumn id="4" name="price_usd"/>
    <x:tableColumn id="5" name="market_cap_usd_bn"/>
    <x:tableColumn id="6" name="enterprise_value_usd_bn"/>
    <x:tableColumn id="7" name="pe_ttm"/>
    <x:tableColumn id="8" name="forward_pe"/>
    <x:tableColumn id="9" name="ps_ttm"/>
    <x:tableColumn id="10" name="ev_sales_ttm"/>
    <x:tableColumn id="11" name="ev_ebitda_ttm"/>
    <x:tableColumn id="12" name="source_id"/>
    <x:tableColumn id="13" name="quote_source_id"/>
    <x:tableColumn id="14" name="note"/>
    <x:tableColumn id="15" name="market_cap_company_basis_usd_bn"/>
    <x:tableColumn id="16" name="ev_company_basis_usd_bn"/>
    <x:tableColumn id="17" name="pe_ttm_company_basis"/>
    <x:tableColumn id="18" name="ev_sales_fy2026_mid_company_basis"/>
    <x:tableColumn id="19" name="ev_ebitda_fy2026_mid_company_basis"/>
  </x:tableColumns>
  <x:tableStyleInfo name="TableStyleMedium2" showRowStripes="1"/>
</x:table>
</file>

<file path=xl/tables/table3.xml><?xml version="1.0" encoding="utf-8"?>
<x:table xmlns:x="http://schemas.openxmlformats.org/spreadsheetml/2006/main" id="3" name="MarketReactionTable" displayName="MarketReactionTable" ref="A4:N10" headerRowCount="1">
  <x:autoFilter ref="A4:N10"/>
  <x:tableColumns count="14">
    <x:tableColumn id="1" name="event_date"/>
    <x:tableColumn id="2" name="event"/>
    <x:tableColumn id="3" name="type"/>
    <x:tableColumn id="4" name="timing"/>
    <x:tableColumn id="5" name="before_date"/>
    <x:tableColumn id="6" name="after_date"/>
    <x:tableColumn id="7" name="fslr_close_before"/>
    <x:tableColumn id="8" name="fslr_close_after"/>
    <x:tableColumn id="9" name="fslr_return_pct"/>
    <x:tableColumn id="10" name="tan_return_pct"/>
    <x:tableColumn id="11" name="alpha_vs_tan_pct"/>
    <x:tableColumn id="12" name="source_id"/>
    <x:tableColumn id="13" name="note"/>
    <x:tableColumn id="14" name="alpha_formula_pct"/>
  </x:tableColumns>
  <x:tableStyleInfo name="TableStyleMedium2" showRowStripes="1"/>
</x:table>
</file>

<file path=xl/tables/table4.xml><?xml version="1.0" encoding="utf-8"?>
<x:table xmlns:x="http://schemas.openxmlformats.org/spreadsheetml/2006/main" id="4" name="CatalystsTable" displayName="CatalystsTable" ref="A4:H10" headerRowCount="1">
  <x:autoFilter ref="A4:H10"/>
  <x:tableColumns count="8">
    <x:tableColumn id="1" name="date_or_window"/>
    <x:tableColumn id="2" name="category"/>
    <x:tableColumn id="3" name="item"/>
    <x:tableColumn id="4" name="status"/>
    <x:tableColumn id="5" name="why_it_matters"/>
    <x:tableColumn id="6" name="monitor"/>
    <x:tableColumn id="7" name="risk_level"/>
    <x:tableColumn id="8" name="source_id"/>
  </x:tableColumns>
  <x:tableStyleInfo name="TableStyleMedium2" showRowStripes="1"/>
</x:table>
</file>

<file path=xl/tables/table5.xml><?xml version="1.0" encoding="utf-8"?>
<x:table xmlns:x="http://schemas.openxmlformats.org/spreadsheetml/2006/main" id="5" name="ResearchPathTable" displayName="ResearchPathTable" ref="A4:F9" headerRowCount="1">
  <x:autoFilter ref="A4:F9"/>
  <x:tableColumns count="6">
    <x:tableColumn id="1" name="key_question"/>
    <x:tableColumn id="2" name="why_it_matters"/>
    <x:tableColumn id="3" name="data_to_track"/>
    <x:tableColumn id="4" name="threshold_or_signpost"/>
    <x:tableColumn id="5" name="current_read"/>
    <x:tableColumn id="6" name="source_id"/>
  </x:tableColumns>
  <x:tableStyleInfo name="TableStyleMedium2" showRowStripes="1"/>
</x:table>
</file>

<file path=xl/tables/table6.xml><?xml version="1.0" encoding="utf-8"?>
<x:table xmlns:x="http://schemas.openxmlformats.org/spreadsheetml/2006/main" id="6" name="SourcesTable" displayName="SourcesTable" ref="A4:H18" headerRowCount="1">
  <x:autoFilter ref="A4:H18"/>
  <x:tableColumns count="8">
    <x:tableColumn id="1" name="source_id"/>
    <x:tableColumn id="2" name="title"/>
    <x:tableColumn id="3" name="publisher"/>
    <x:tableColumn id="4" name="date"/>
    <x:tableColumn id="5" name="url"/>
    <x:tableColumn id="6" name="source_type"/>
    <x:tableColumn id="7" name="used_for"/>
    <x:tableColumn id="8" name="quality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2e0a21d549e4c4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0816eaed3e6c4660" /><Relationship Type="http://schemas.openxmlformats.org/officeDocument/2006/relationships/table" Target="/xl/tables/table1.xml" Id="R2187e4cc8d854a1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8966cc05e05145e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eca8cd38509f4d5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4.xml" Id="R841eba6ed14b4da6" /><Relationship Type="http://schemas.openxmlformats.org/officeDocument/2006/relationships/table" Target="/xl/tables/table3.xml" Id="R0abccec0cd3b44d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83dfd2ea077e465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9bc14d2f1ebd4fa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b32f7c2a01dc423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23.75" hidden="0" customWidth="1"/>
    <x:col min="3" max="3" width="16.25" hidden="0" customWidth="1"/>
    <x:col min="4" max="4" width="16.25" hidden="0" customWidth="1"/>
    <x:col min="5" max="5" width="16.25" hidden="0" customWidth="1"/>
    <x:col min="6" max="6" width="16.25" hidden="0" customWidth="1"/>
    <x:col min="7" max="7" width="16.25" hidden="0" customWidth="1"/>
    <x:col min="8" max="8" width="16.25" hidden="0" customWidth="1"/>
    <x:col min="9" max="9" width="16.25" hidden="0" customWidth="1"/>
    <x:col min="10" max="10" width="16.25" hidden="0" customWidth="1"/>
    <x:col min="11" max="11" width="16.25" hidden="0" customWidth="1"/>
    <x:col min="12" max="12" width="16.25" hidden="0" customWidth="1"/>
    <x:col min="13" max="13" width="16.25" hidden="0" customWidth="1"/>
    <x:col min="14" max="14" width="16.25" hidden="0" customWidth="1"/>
  </x:cols>
  <x:sheetData>
    <x:row r="1">
      <x:c r="A1" s="4" t="str">
        <x:v>First Solar (FSLR) 中文深度研究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>
      <x:c r="A2" s="6" t="str">
        <x:v>独立研究项目 | 数据截至 2026-05-28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>
      <x:c r="A4" s="7" t="str">
        <x:v>关键结论</x:v>
      </x:c>
      <x:c r="B4" s="7" t="str">
        <x:v>当前读数</x:v>
      </x:c>
      <x:c r="C4" s="2"/>
      <x:c r="D4" s="13" t="str">
        <x:v>Year</x:v>
      </x:c>
      <x:c r="E4" s="13" t="str">
        <x:v>Net Sales</x:v>
      </x:c>
      <x:c r="F4" s="13" t="str">
        <x:v>Gross Profit</x:v>
      </x:c>
      <x:c r="G4" s="2"/>
      <x:c r="H4" s="2"/>
      <x:c r="I4" s="2"/>
      <x:c r="J4" s="2"/>
      <x:c r="K4" s="2"/>
      <x:c r="L4" s="2"/>
      <x:c r="M4" s="2"/>
      <x:c r="N4" s="2"/>
    </x:row>
    <x:row r="5">
      <x:c r="A5" s="2" t="str">
        <x:v>投资方向</x:v>
      </x:c>
      <x:c r="B5" s="2" t="str">
        <x:v>已有仓位继续跟踪；新资金等待回撤或订单/政策验证后分批</x:v>
      </x:c>
      <x:c r="C5" s="2"/>
      <x:c r="D5" s="2" t="str">
        <x:v>2023A</x:v>
      </x:c>
      <x:c r="E5" s="14" t="n">
        <x:v>3318.602</x:v>
      </x:c>
      <x:c r="F5" s="14" t="n">
        <x:v>1300.679</x:v>
      </x:c>
      <x:c r="G5" s="2"/>
      <x:c r="H5" s="2"/>
      <x:c r="I5" s="2"/>
      <x:c r="J5" s="2"/>
      <x:c r="K5" s="2"/>
      <x:c r="L5" s="2"/>
      <x:c r="M5" s="2"/>
      <x:c r="N5" s="2"/>
    </x:row>
    <x:row r="6">
      <x:c r="A6" s="2" t="str">
        <x:v>当前股价</x:v>
      </x:c>
      <x:c r="B6" s="8" t="n">
        <x:v>289.495</x:v>
      </x:c>
      <x:c r="C6" s="2"/>
      <x:c r="D6" s="2" t="str">
        <x:v>2024A</x:v>
      </x:c>
      <x:c r="E6" s="14" t="n">
        <x:v>4206.289</x:v>
      </x:c>
      <x:c r="F6" s="14" t="n">
        <x:v>1857.864</x:v>
      </x:c>
      <x:c r="G6" s="2"/>
      <x:c r="H6" s="2"/>
      <x:c r="I6" s="2"/>
      <x:c r="J6" s="2"/>
      <x:c r="K6" s="2"/>
      <x:c r="L6" s="2"/>
      <x:c r="M6" s="2"/>
      <x:c r="N6" s="2"/>
    </x:row>
    <x:row r="7">
      <x:c r="A7" s="2" t="str">
        <x:v>公司口径 EV</x:v>
      </x:c>
      <x:c r="B7" s="9" t="n">
        <x:f>Valuation!B9</x:f>
        <x:v>29.153178425</x:v>
      </x:c>
      <x:c r="C7" s="2"/>
      <x:c r="D7" s="2" t="str">
        <x:v>2025A</x:v>
      </x:c>
      <x:c r="E7" s="14" t="n">
        <x:v>5219.376</x:v>
      </x:c>
      <x:c r="F7" s="14" t="n">
        <x:v>2120.339</x:v>
      </x:c>
      <x:c r="G7" s="2"/>
      <x:c r="H7" s="2"/>
      <x:c r="I7" s="2"/>
      <x:c r="J7" s="2"/>
      <x:c r="K7" s="2"/>
      <x:c r="L7" s="2"/>
      <x:c r="M7" s="2"/>
      <x:c r="N7" s="2"/>
    </x:row>
    <x:row r="8">
      <x:c r="A8" s="2" t="str">
        <x:v>EV/FY2026 EBITDA</x:v>
      </x:c>
      <x:c r="B8" s="10" t="n">
        <x:f>Valuation!B15</x:f>
        <x:v>10.79747349074074</x:v>
      </x:c>
      <x:c r="C8" s="2"/>
      <x:c r="D8" s="2" t="str">
        <x:v>2026E mid</x:v>
      </x:c>
      <x:c r="E8" s="14" t="n">
        <x:v>5050</x:v>
      </x:c>
      <x:c r="F8" s="14" t="n">
        <x:v>2500</x:v>
      </x:c>
      <x:c r="G8" s="2"/>
      <x:c r="H8" s="2"/>
      <x:c r="I8" s="2"/>
      <x:c r="J8" s="2"/>
      <x:c r="K8" s="2"/>
      <x:c r="L8" s="2"/>
      <x:c r="M8" s="2"/>
      <x:c r="N8" s="2"/>
    </x:row>
    <x:row r="9">
      <x:c r="A9" s="2" t="str">
        <x:v>TTM P/E</x:v>
      </x:c>
      <x:c r="B9" s="10" t="n">
        <x:f>Valuation!B13</x:f>
        <x:v>18.701227390180875</x:v>
      </x:c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</x:row>
    <x:row r="10">
      <x:c r="A10" s="2" t="str">
        <x:v>Backlog</x:v>
      </x:c>
      <x:c r="B10" s="2" t="str">
        <x:v>47.9GW / $14.4bn</x:v>
      </x:c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</x:row>
    <x:row r="11">
      <x:c r="A11" s="2" t="str">
        <x:v>Backlog ASP</x:v>
      </x:c>
      <x:c r="B11" s="11" t="n">
        <x:f>Valuation!B18</x:f>
        <x:v>0.3006263048016702</x:v>
      </x:c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</x:row>
    <x:row r="12">
      <x:c r="A12" s="2" t="str">
        <x:v>最关键问题</x:v>
      </x:c>
      <x:c r="B12" s="2" t="str">
        <x:v>45X 和贸易政策能否把 backlog 变成 2027+ 可持续现金流</x:v>
      </x:c>
      <x:c r="C12" s="2"/>
      <x:c r="D12" s="13" t="str">
        <x:v>Scenario</x:v>
      </x:c>
      <x:c r="E12" s="13" t="str">
        <x:v>Implied Price</x:v>
      </x:c>
      <x:c r="F12" s="13" t="str">
        <x:v>Vs Current</x:v>
      </x:c>
      <x:c r="G12" s="2"/>
      <x:c r="H12" s="2"/>
      <x:c r="I12" s="2"/>
      <x:c r="J12" s="2"/>
      <x:c r="K12" s="2"/>
      <x:c r="L12" s="2"/>
      <x:c r="M12" s="2"/>
      <x:c r="N12" s="2"/>
    </x:row>
    <x:row r="13">
      <x:c r="A13" s="2" t="str">
        <x:v>下一步验证</x:v>
      </x:c>
      <x:c r="B13" s="2" t="str">
        <x:v>新增 bookings ASP、45X cash realization、OCF-capex、Section 232/TOPCon</x:v>
      </x:c>
      <x:c r="C13" s="2"/>
      <x:c r="D13" s="2" t="str">
        <x:v>Bear</x:v>
      </x:c>
      <x:c r="E13" s="15" t="n">
        <x:v>189.57232727779584</x:v>
      </x:c>
      <x:c r="F13" s="16" t="n">
        <x:f>E13/Valuation!$B$5-1</x:f>
        <x:v>-0.345161998384097</x:v>
      </x:c>
      <x:c r="G13" s="2"/>
      <x:c r="H13" s="2"/>
      <x:c r="I13" s="2"/>
      <x:c r="J13" s="2"/>
      <x:c r="K13" s="2"/>
      <x:c r="L13" s="2"/>
      <x:c r="M13" s="2"/>
      <x:c r="N13" s="2"/>
    </x:row>
    <x:row r="14">
      <x:c r="A14" s="2" t="str">
        <x:v>资料路径</x:v>
      </x:c>
      <x:c r="B14" s="2" t="str">
        <x:v>见 Sources sheet 和 data/sources.csv</x:v>
      </x:c>
      <x:c r="C14" s="2"/>
      <x:c r="D14" s="2" t="str">
        <x:v>Base</x:v>
      </x:c>
      <x:c r="E14" s="15" t="n">
        <x:v>269.4868373368025</x:v>
      </x:c>
      <x:c r="F14" s="16" t="n">
        <x:f>E14/Valuation!$B$5-1</x:f>
        <x:v>-0.06911401807698747</x:v>
      </x:c>
      <x:c r="G14" s="2"/>
      <x:c r="H14" s="2"/>
      <x:c r="I14" s="2"/>
      <x:c r="J14" s="2"/>
      <x:c r="K14" s="2"/>
      <x:c r="L14" s="2"/>
      <x:c r="M14" s="2"/>
      <x:c r="N14" s="2"/>
    </x:row>
    <x:row r="15">
      <x:c r="A15" s="2"/>
      <x:c r="B15" s="2"/>
      <x:c r="C15" s="2"/>
      <x:c r="D15" s="2" t="str">
        <x:v>Bull</x:v>
      </x:c>
      <x:c r="E15" s="15" t="n">
        <x:v>375.4200250894393</x:v>
      </x:c>
      <x:c r="F15" s="16" t="n">
        <x:f>E15/Valuation!$B$5-1</x:f>
        <x:v>0.29681004884173934</x:v>
      </x:c>
      <x:c r="G15" s="2"/>
      <x:c r="H15" s="2"/>
      <x:c r="I15" s="2"/>
      <x:c r="J15" s="2"/>
      <x:c r="K15" s="2"/>
      <x:c r="L15" s="2"/>
      <x:c r="M15" s="2"/>
      <x:c r="N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32e0a21d549e4c40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23.75" hidden="0" customWidth="1"/>
    <x:col min="3" max="3" width="16.25" hidden="0" customWidth="1"/>
    <x:col min="4" max="4" width="16.25" hidden="0" customWidth="1"/>
    <x:col min="5" max="5" width="16.25" hidden="0" customWidth="1"/>
    <x:col min="6" max="6" width="16.25" hidden="0" customWidth="1"/>
    <x:col min="7" max="7" width="16.25" hidden="0" customWidth="1"/>
    <x:col min="8" max="8" width="16.25" hidden="0" customWidth="1"/>
    <x:col min="9" max="9" width="16.25" hidden="0" customWidth="1"/>
    <x:col min="10" max="10" width="16.25" hidden="0" customWidth="1"/>
    <x:col min="11" max="11" width="16.25" hidden="0" customWidth="1"/>
    <x:col min="12" max="12" width="16.25" hidden="0" customWidth="1"/>
    <x:col min="13" max="13" width="16.25" hidden="0" customWidth="1"/>
    <x:col min="14" max="14" width="16.25" hidden="0" customWidth="1"/>
  </x:cols>
  <x:sheetData>
    <x:row r="1">
      <x:c r="A1" s="4" t="str">
        <x:v>Financials / KPIs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>
      <x:c r="A2" s="6" t="str">
        <x:v>财务、现金流、产能、backlog，保持口径分开。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>
      <x:c r="A4" s="19" t="str">
        <x:v>category</x:v>
      </x:c>
      <x:c r="B4" s="19" t="str">
        <x:v>metric</x:v>
      </x:c>
      <x:c r="C4" s="19" t="str">
        <x:v>unit</x:v>
      </x:c>
      <x:c r="D4" s="19" t="str">
        <x:v>2023A</x:v>
      </x:c>
      <x:c r="E4" s="19" t="str">
        <x:v>2024A</x:v>
      </x:c>
      <x:c r="F4" s="19" t="str">
        <x:v>2025A</x:v>
      </x:c>
      <x:c r="G4" s="19" t="str">
        <x:v>Q1_2025A</x:v>
      </x:c>
      <x:c r="H4" s="19" t="str">
        <x:v>Q1_2026A</x:v>
      </x:c>
      <x:c r="I4" s="19" t="str">
        <x:v>FY2026_guidance_mid</x:v>
      </x:c>
      <x:c r="J4" s="19" t="str">
        <x:v>source_id</x:v>
      </x:c>
      <x:c r="K4" s="19" t="str">
        <x:v>note</x:v>
      </x:c>
      <x:c r="L4" s="13" t="str">
        <x:v>Metric</x:v>
      </x:c>
      <x:c r="M4" s="13" t="str">
        <x:v>Value</x:v>
      </x:c>
      <x:c r="N4" s="2"/>
    </x:row>
    <x:row r="5">
      <x:c r="A5" s="20" t="str">
        <x:v>Income statement</x:v>
      </x:c>
      <x:c r="B5" s="20" t="str">
        <x:v>Net sales</x:v>
      </x:c>
      <x:c r="C5" s="20" t="str">
        <x:v>USD mn</x:v>
      </x:c>
      <x:c r="D5" s="21" t="n">
        <x:v>3318.602</x:v>
      </x:c>
      <x:c r="E5" s="21" t="n">
        <x:v>4206.289</x:v>
      </x:c>
      <x:c r="F5" s="21" t="n">
        <x:v>5219.376</x:v>
      </x:c>
      <x:c r="G5" s="21" t="n">
        <x:v>844.568</x:v>
      </x:c>
      <x:c r="H5" s="21" t="n">
        <x:v>1044.24</x:v>
      </x:c>
      <x:c r="I5" s="21" t="n">
        <x:v>5050</x:v>
      </x:c>
      <x:c r="J5" s="20" t="str">
        <x:v>S1;S3;S4;S5</x:v>
      </x:c>
      <x:c r="K5" s="20" t="str">
        <x:v>2026 guidance midpoint of $4.9-$5.2bn.</x:v>
      </x:c>
      <x:c r="L5" s="2" t="str">
        <x:v>2025 sold GW</x:v>
      </x:c>
      <x:c r="M5" s="2" t="n">
        <x:v>16.7</x:v>
      </x:c>
      <x:c r="N5" s="2"/>
    </x:row>
    <x:row r="6">
      <x:c r="A6" s="20" t="str">
        <x:v>Income statement</x:v>
      </x:c>
      <x:c r="B6" s="20" t="str">
        <x:v>Gross profit</x:v>
      </x:c>
      <x:c r="C6" s="20" t="str">
        <x:v>USD mn</x:v>
      </x:c>
      <x:c r="D6" s="21" t="n">
        <x:v>1300.679</x:v>
      </x:c>
      <x:c r="E6" s="21" t="n">
        <x:v>1857.864</x:v>
      </x:c>
      <x:c r="F6" s="21" t="n">
        <x:v>2120.339</x:v>
      </x:c>
      <x:c r="G6" s="21" t="n">
        <x:v>344.403</x:v>
      </x:c>
      <x:c r="H6" s="21" t="n">
        <x:v>486.131</x:v>
      </x:c>
      <x:c r="I6" s="21" t="n">
        <x:v>2500</x:v>
      </x:c>
      <x:c r="J6" s="20" t="str">
        <x:v>S1;S3;S4;S5</x:v>
      </x:c>
      <x:c r="K6" s="20" t="str">
        <x:v>2026 guidance midpoint of $2.4-$2.6bn.</x:v>
      </x:c>
      <x:c r="L6" s="2" t="str">
        <x:v>Q1 2026 sold GW</x:v>
      </x:c>
      <x:c r="M6" s="2" t="n">
        <x:v>3.8</x:v>
      </x:c>
      <x:c r="N6" s="2"/>
    </x:row>
    <x:row r="7">
      <x:c r="A7" s="20" t="str">
        <x:v>Income statement</x:v>
      </x:c>
      <x:c r="B7" s="20" t="str">
        <x:v>Gross margin</x:v>
      </x:c>
      <x:c r="C7" s="20" t="str">
        <x:v>%</x:v>
      </x:c>
      <x:c r="D7" s="21" t="n">
        <x:v>39.19</x:v>
      </x:c>
      <x:c r="E7" s="21" t="n">
        <x:v>44.17</x:v>
      </x:c>
      <x:c r="F7" s="21" t="n">
        <x:v>40.63</x:v>
      </x:c>
      <x:c r="G7" s="21" t="n">
        <x:v>40.78</x:v>
      </x:c>
      <x:c r="H7" s="21" t="n">
        <x:v>46.55</x:v>
      </x:c>
      <x:c r="I7" s="21" t="n">
        <x:v>49.5</x:v>
      </x:c>
      <x:c r="J7" s="20" t="str">
        <x:v>S1;S4</x:v>
      </x:c>
      <x:c r="K7" s="20" t="str">
        <x:v>Calculated from net sales and gross profit.</x:v>
      </x:c>
      <x:c r="L7" s="2" t="str">
        <x:v>Q1 2026 produced GW</x:v>
      </x:c>
      <x:c r="M7" s="2" t="n">
        <x:v>4.3</x:v>
      </x:c>
      <x:c r="N7" s="2"/>
    </x:row>
    <x:row r="8">
      <x:c r="A8" s="20" t="str">
        <x:v>Income statement</x:v>
      </x:c>
      <x:c r="B8" s="20" t="str">
        <x:v>Operating income</x:v>
      </x:c>
      <x:c r="C8" s="20" t="str">
        <x:v>USD mn</x:v>
      </x:c>
      <x:c r="D8" s="21" t="n">
        <x:v>857.266</x:v>
      </x:c>
      <x:c r="E8" s="21" t="n">
        <x:v>1394.42</x:v>
      </x:c>
      <x:c r="F8" s="21" t="n">
        <x:v>1596.864</x:v>
      </x:c>
      <x:c r="G8" s="21" t="n">
        <x:v>221.244</x:v>
      </x:c>
      <x:c r="H8" s="21" t="n">
        <x:v>345.303</x:v>
      </x:c>
      <x:c r="I8" s="21" t="str"/>
      <x:c r="J8" s="20" t="str">
        <x:v>S1;S4</x:v>
      </x:c>
      <x:c r="K8" s="20" t="str"/>
      <x:c r="L8" s="2" t="str">
        <x:v>Backlog GW</x:v>
      </x:c>
      <x:c r="M8" s="2" t="n">
        <x:v>47.9</x:v>
      </x:c>
      <x:c r="N8" s="2"/>
    </x:row>
    <x:row r="9">
      <x:c r="A9" s="20" t="str">
        <x:v>Income statement</x:v>
      </x:c>
      <x:c r="B9" s="20" t="str">
        <x:v>Net income</x:v>
      </x:c>
      <x:c r="C9" s="20" t="str">
        <x:v>USD mn</x:v>
      </x:c>
      <x:c r="D9" s="21" t="n">
        <x:v>830.777</x:v>
      </x:c>
      <x:c r="E9" s="21" t="n">
        <x:v>1292.044</x:v>
      </x:c>
      <x:c r="F9" s="21" t="n">
        <x:v>1528.229</x:v>
      </x:c>
      <x:c r="G9" s="21" t="n">
        <x:v>209.535</x:v>
      </x:c>
      <x:c r="H9" s="21" t="n">
        <x:v>346.619</x:v>
      </x:c>
      <x:c r="I9" s="21" t="str"/>
      <x:c r="J9" s="20" t="str">
        <x:v>S1;S4</x:v>
      </x:c>
      <x:c r="K9" s="20" t="str"/>
      <x:c r="L9" s="2"/>
      <x:c r="M9" s="2"/>
      <x:c r="N9" s="2"/>
    </x:row>
    <x:row r="10">
      <x:c r="A10" s="20" t="str">
        <x:v>Income statement</x:v>
      </x:c>
      <x:c r="B10" s="20" t="str">
        <x:v>Diluted EPS</x:v>
      </x:c>
      <x:c r="C10" s="20" t="str">
        <x:v>USD/share</x:v>
      </x:c>
      <x:c r="D10" s="21" t="n">
        <x:v>7.74</x:v>
      </x:c>
      <x:c r="E10" s="21" t="n">
        <x:v>12.02</x:v>
      </x:c>
      <x:c r="F10" s="21" t="n">
        <x:v>14.21</x:v>
      </x:c>
      <x:c r="G10" s="21" t="n">
        <x:v>1.95</x:v>
      </x:c>
      <x:c r="H10" s="21" t="n">
        <x:v>3.22</x:v>
      </x:c>
      <x:c r="I10" s="21" t="str"/>
      <x:c r="J10" s="20" t="str">
        <x:v>S1;S4</x:v>
      </x:c>
      <x:c r="K10" s="20" t="str"/>
      <x:c r="L10" s="2"/>
      <x:c r="M10" s="2"/>
      <x:c r="N10" s="2"/>
    </x:row>
    <x:row r="11">
      <x:c r="A11" s="20" t="str">
        <x:v>Cash flow</x:v>
      </x:c>
      <x:c r="B11" s="20" t="str">
        <x:v>Operating cash flow</x:v>
      </x:c>
      <x:c r="C11" s="20" t="str">
        <x:v>USD mn</x:v>
      </x:c>
      <x:c r="D11" s="21" t="n">
        <x:v>602.26</x:v>
      </x:c>
      <x:c r="E11" s="21" t="n">
        <x:v>1217.999</x:v>
      </x:c>
      <x:c r="F11" s="21" t="n">
        <x:v>2057.105</x:v>
      </x:c>
      <x:c r="G11" s="21" t="n">
        <x:v>-607.982</x:v>
      </x:c>
      <x:c r="H11" s="21" t="n">
        <x:v>-214.866</x:v>
      </x:c>
      <x:c r="I11" s="21" t="str"/>
      <x:c r="J11" s="20" t="str">
        <x:v>S2;S4</x:v>
      </x:c>
      <x:c r="K11" s="20" t="str">
        <x:v>Q1 seasonality and working-capital timing matter.</x:v>
      </x:c>
      <x:c r="L11" s="2"/>
      <x:c r="M11" s="2"/>
      <x:c r="N11" s="2"/>
    </x:row>
    <x:row r="12">
      <x:c r="A12" s="20" t="str">
        <x:v>Cash flow</x:v>
      </x:c>
      <x:c r="B12" s="20" t="str">
        <x:v>Capex / PP&amp;E purchases</x:v>
      </x:c>
      <x:c r="C12" s="20" t="str">
        <x:v>USD mn</x:v>
      </x:c>
      <x:c r="D12" s="21" t="n">
        <x:v>1386.775</x:v>
      </x:c>
      <x:c r="E12" s="21" t="n">
        <x:v>1526.076</x:v>
      </x:c>
      <x:c r="F12" s="21" t="n">
        <x:v>869.875</x:v>
      </x:c>
      <x:c r="G12" s="21" t="n">
        <x:v>205.966</x:v>
      </x:c>
      <x:c r="H12" s="21" t="n">
        <x:v>118.529</x:v>
      </x:c>
      <x:c r="I12" s="21" t="n">
        <x:v>900</x:v>
      </x:c>
      <x:c r="J12" s="20" t="str">
        <x:v>S2;S3;S4</x:v>
      </x:c>
      <x:c r="K12" s="20" t="str">
        <x:v>2026 guidance midpoint of $0.8-$1.0bn.</x:v>
      </x:c>
      <x:c r="L12" s="2"/>
      <x:c r="M12" s="2"/>
      <x:c r="N12" s="2"/>
    </x:row>
    <x:row r="13">
      <x:c r="A13" s="20" t="str">
        <x:v>Non-GAAP</x:v>
      </x:c>
      <x:c r="B13" s="20" t="str">
        <x:v>Adjusted EBITDA</x:v>
      </x:c>
      <x:c r="C13" s="20" t="str">
        <x:v>USD mn</x:v>
      </x:c>
      <x:c r="D13" s="21" t="str"/>
      <x:c r="E13" s="21" t="str"/>
      <x:c r="F13" s="21" t="str"/>
      <x:c r="G13" s="21" t="n">
        <x:v>379.18</x:v>
      </x:c>
      <x:c r="H13" s="21" t="n">
        <x:v>519.807</x:v>
      </x:c>
      <x:c r="I13" s="21" t="n">
        <x:v>2700</x:v>
      </x:c>
      <x:c r="J13" s="20" t="str">
        <x:v>S1;S3</x:v>
      </x:c>
      <x:c r="K13" s="20" t="str">
        <x:v>2026 guidance midpoint of $2.6-$2.8bn.</x:v>
      </x:c>
      <x:c r="L13" s="2"/>
      <x:c r="M13" s="2"/>
      <x:c r="N13" s="2"/>
    </x:row>
    <x:row r="14">
      <x:c r="A14" s="20" t="str">
        <x:v>Business KPI</x:v>
      </x:c>
      <x:c r="B14" s="20" t="str">
        <x:v>Module production</x:v>
      </x:c>
      <x:c r="C14" s="20" t="str">
        <x:v>GWdc</x:v>
      </x:c>
      <x:c r="D14" s="21" t="str"/>
      <x:c r="E14" s="21" t="str"/>
      <x:c r="F14" s="21" t="n">
        <x:v>17.5</x:v>
      </x:c>
      <x:c r="G14" s="21" t="str"/>
      <x:c r="H14" s="21" t="n">
        <x:v>4.3</x:v>
      </x:c>
      <x:c r="I14" s="21" t="str"/>
      <x:c r="J14" s="20" t="str">
        <x:v>S2;S4</x:v>
      </x:c>
      <x:c r="K14" s="20" t="str">
        <x:v>Production, not shipment.</x:v>
      </x:c>
      <x:c r="L14" s="2"/>
      <x:c r="M14" s="2"/>
      <x:c r="N14" s="2"/>
    </x:row>
    <x:row r="15">
      <x:c r="A15" s="20" t="str">
        <x:v>Business KPI</x:v>
      </x:c>
      <x:c r="B15" s="20" t="str">
        <x:v>Module sold</x:v>
      </x:c>
      <x:c r="C15" s="20" t="str">
        <x:v>GWdc</x:v>
      </x:c>
      <x:c r="D15" s="21" t="str"/>
      <x:c r="E15" s="21" t="str"/>
      <x:c r="F15" s="21" t="n">
        <x:v>16.7</x:v>
      </x:c>
      <x:c r="G15" s="21" t="str"/>
      <x:c r="H15" s="21" t="n">
        <x:v>3.8</x:v>
      </x:c>
      <x:c r="I15" s="21" t="n">
        <x:v>17.6</x:v>
      </x:c>
      <x:c r="J15" s="20" t="str">
        <x:v>S1;S2;S3;S4</x:v>
      </x:c>
      <x:c r="K15" s="20" t="str">
        <x:v>2026 guidance midpoint of 17.0-18.2GW sold.</x:v>
      </x:c>
      <x:c r="L15" s="2"/>
      <x:c r="M15" s="2"/>
      <x:c r="N15" s="2"/>
    </x:row>
    <x:row r="16">
      <x:c r="A16" s="20" t="str">
        <x:v>Business KPI</x:v>
      </x:c>
      <x:c r="B16" s="20" t="str">
        <x:v>Contracted backlog</x:v>
      </x:c>
      <x:c r="C16" s="20" t="str">
        <x:v>GWdc</x:v>
      </x:c>
      <x:c r="D16" s="21" t="str"/>
      <x:c r="E16" s="21" t="str"/>
      <x:c r="F16" s="21" t="n">
        <x:v>48.8</x:v>
      </x:c>
      <x:c r="G16" s="21" t="str"/>
      <x:c r="H16" s="21" t="n">
        <x:v>47.9</x:v>
      </x:c>
      <x:c r="I16" s="21" t="str"/>
      <x:c r="J16" s="20" t="str">
        <x:v>S1;S3;S5</x:v>
      </x:c>
      <x:c r="K16" s="20" t="str">
        <x:v>Backlog is contracted future volume, not current revenue.</x:v>
      </x:c>
      <x:c r="L16" s="2"/>
      <x:c r="M16" s="2"/>
      <x:c r="N16" s="2"/>
    </x:row>
    <x:row r="17">
      <x:c r="A17" s="20" t="str">
        <x:v>Business KPI</x:v>
      </x:c>
      <x:c r="B17" s="20" t="str">
        <x:v>Backlog value</x:v>
      </x:c>
      <x:c r="C17" s="20" t="str">
        <x:v>USD bn</x:v>
      </x:c>
      <x:c r="D17" s="21" t="str"/>
      <x:c r="E17" s="21" t="str"/>
      <x:c r="F17" s="21" t="n">
        <x:v>14.6</x:v>
      </x:c>
      <x:c r="G17" s="21" t="str"/>
      <x:c r="H17" s="21" t="n">
        <x:v>14.4</x:v>
      </x:c>
      <x:c r="I17" s="21" t="str"/>
      <x:c r="J17" s="20" t="str">
        <x:v>S1;S3;S5</x:v>
      </x:c>
      <x:c r="K17" s="20" t="str">
        <x:v>Backlog dollar value includes future contracted net sales.</x:v>
      </x:c>
      <x:c r="L17" s="2"/>
      <x:c r="M17" s="2"/>
      <x:c r="N17" s="2"/>
    </x:row>
    <x:row r="18">
      <x:c r="A18" s="20" t="str">
        <x:v>Business KPI</x:v>
      </x:c>
      <x:c r="B18" s="20" t="str">
        <x:v>Bookings YTD</x:v>
      </x:c>
      <x:c r="C18" s="20" t="str">
        <x:v>GWdc</x:v>
      </x:c>
      <x:c r="D18" s="21" t="str"/>
      <x:c r="E18" s="21" t="str"/>
      <x:c r="F18" s="21" t="str"/>
      <x:c r="G18" s="21" t="str"/>
      <x:c r="H18" s="21" t="n">
        <x:v>3.7</x:v>
      </x:c>
      <x:c r="I18" s="21" t="str"/>
      <x:c r="J18" s="20" t="str">
        <x:v>S1;S3</x:v>
      </x:c>
      <x:c r="K18" s="20" t="str">
        <x:v>3.7GW net bookings since prior earnings call.</x:v>
      </x:c>
      <x:c r="L18" s="2"/>
      <x:c r="M18" s="2"/>
      <x:c r="N18" s="2"/>
    </x:row>
    <x:row r="19">
      <x:c r="A19" s="20" t="str">
        <x:v>Balance sheet</x:v>
      </x:c>
      <x:c r="B19" s="20" t="str">
        <x:v>Cash and marketable securities</x:v>
      </x:c>
      <x:c r="C19" s="20" t="str">
        <x:v>USD mn</x:v>
      </x:c>
      <x:c r="D19" s="21" t="n">
        <x:v>2269.609</x:v>
      </x:c>
      <x:c r="E19" s="21" t="n">
        <x:v>1267.781</x:v>
      </x:c>
      <x:c r="F19" s="21" t="n">
        <x:v>1993.961</x:v>
      </x:c>
      <x:c r="G19" s="21" t="n">
        <x:v>1261.902</x:v>
      </x:c>
      <x:c r="H19" s="21" t="n">
        <x:v>2426.579</x:v>
      </x:c>
      <x:c r="I19" s="21" t="str"/>
      <x:c r="J19" s="20" t="str">
        <x:v>S2;S4</x:v>
      </x:c>
      <x:c r="K19" s="20" t="str">
        <x:v>Includes cash, cash equivalents, marketable securities and restricted cash/securities.</x:v>
      </x:c>
      <x:c r="L19" s="2"/>
      <x:c r="M19" s="2"/>
      <x:c r="N19" s="2"/>
    </x:row>
    <x:row r="20">
      <x:c r="A20" s="20" t="str">
        <x:v>Balance sheet</x:v>
      </x:c>
      <x:c r="B20" s="20" t="str">
        <x:v>Debt</x:v>
      </x:c>
      <x:c r="C20" s="20" t="str">
        <x:v>USD mn</x:v>
      </x:c>
      <x:c r="D20" s="21" t="n">
        <x:v>562.063</x:v>
      </x:c>
      <x:c r="E20" s="21" t="n">
        <x:v>540.284</x:v>
      </x:c>
      <x:c r="F20" s="21" t="n">
        <x:v>540.001</x:v>
      </x:c>
      <x:c r="G20" s="21" t="n">
        <x:v>540.124</x:v>
      </x:c>
      <x:c r="H20" s="21" t="n">
        <x:v>425.753</x:v>
      </x:c>
      <x:c r="I20" s="21" t="str"/>
      <x:c r="J20" s="20" t="str">
        <x:v>S2;S4</x:v>
      </x:c>
      <x:c r="K20" s="20" t="str">
        <x:v>Current debt + long-term debt.</x:v>
      </x:c>
      <x:c r="L20" s="2"/>
      <x:c r="M20" s="2"/>
      <x:c r="N20" s="2"/>
    </x:row>
    <x:row r="21">
      <x:c r="A21" s="20" t="str">
        <x:v>Balance sheet</x:v>
      </x:c>
      <x:c r="B21" s="20" t="str">
        <x:v>Net cash</x:v>
      </x:c>
      <x:c r="C21" s="20" t="str">
        <x:v>USD mn</x:v>
      </x:c>
      <x:c r="D21" s="21" t="n">
        <x:v>1707.546</x:v>
      </x:c>
      <x:c r="E21" s="21" t="n">
        <x:v>727.497</x:v>
      </x:c>
      <x:c r="F21" s="21" t="n">
        <x:v>1453.96</x:v>
      </x:c>
      <x:c r="G21" s="21" t="n">
        <x:v>721.778</x:v>
      </x:c>
      <x:c r="H21" s="21" t="n">
        <x:v>2000.826</x:v>
      </x:c>
      <x:c r="I21" s="21" t="str"/>
      <x:c r="J21" s="20" t="str">
        <x:v>S1;S2;S4</x:v>
      </x:c>
      <x:c r="K21" s="20" t="str">
        <x:v>Cash and marketable securities less debt.</x:v>
      </x:c>
      <x:c r="L21" s="2"/>
      <x:c r="M21" s="2"/>
      <x:c r="N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0816eaed3e6c4660"/>
  <x:tableParts count="1">
    <x:tablePart xmlns:r="http://schemas.openxmlformats.org/officeDocument/2006/relationships" r:id="R2187e4cc8d854a1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23.75" hidden="0" customWidth="1"/>
    <x:col min="3" max="3" width="16.25" hidden="0" customWidth="1"/>
    <x:col min="4" max="4" width="16.25" hidden="0" customWidth="1"/>
    <x:col min="5" max="5" width="16.25" hidden="0" customWidth="1"/>
    <x:col min="6" max="6" width="16.25" hidden="0" customWidth="1"/>
    <x:col min="7" max="7" width="16.25" hidden="0" customWidth="1"/>
    <x:col min="8" max="8" width="16.25" hidden="0" customWidth="1"/>
    <x:col min="9" max="9" width="16.25" hidden="0" customWidth="1"/>
    <x:col min="10" max="10" width="16.25" hidden="0" customWidth="1"/>
    <x:col min="11" max="11" width="16.25" hidden="0" customWidth="1"/>
    <x:col min="12" max="12" width="16.25" hidden="0" customWidth="1"/>
    <x:col min="13" max="13" width="16.25" hidden="0" customWidth="1"/>
    <x:col min="14" max="14" width="16.25" hidden="0" customWidth="1"/>
  </x:cols>
  <x:sheetData>
    <x:row r="1">
      <x:c r="A1" s="4" t="str">
        <x:v>Valuation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>
      <x:c r="A2" s="6" t="str">
        <x:v>公司口径估值、当前倍数和情景估值。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>
      <x:c r="A4" s="7" t="str">
        <x:v>Metric</x:v>
      </x:c>
      <x:c r="B4" s="7" t="str">
        <x:v>Value</x:v>
      </x:c>
      <x:c r="C4" s="7" t="str">
        <x:v>Unit</x:v>
      </x:c>
      <x:c r="D4" s="7" t="str">
        <x:v>Source</x:v>
      </x:c>
      <x:c r="E4" s="7" t="str">
        <x:v>Note</x:v>
      </x:c>
      <x:c r="F4" s="2"/>
      <x:c r="G4" s="2"/>
      <x:c r="H4" s="2"/>
      <x:c r="I4" s="13" t="str">
        <x:v>Scenario</x:v>
      </x:c>
      <x:c r="J4" s="13" t="str">
        <x:v>Implied Price</x:v>
      </x:c>
      <x:c r="K4" s="2"/>
      <x:c r="L4" s="2"/>
      <x:c r="M4" s="2"/>
      <x:c r="N4" s="2"/>
    </x:row>
    <x:row r="5">
      <x:c r="A5" s="2" t="str">
        <x:v>Current price</x:v>
      </x:c>
      <x:c r="B5" s="22" t="n">
        <x:v>289.495</x:v>
      </x:c>
      <x:c r="C5" s="2" t="str">
        <x:v>USD/share</x:v>
      </x:c>
      <x:c r="D5" s="2" t="str">
        <x:v>S11</x:v>
      </x:c>
      <x:c r="E5" s="2" t="str">
        <x:v>Yahoo chart API quote</x:v>
      </x:c>
      <x:c r="F5" s="2"/>
      <x:c r="G5" s="2"/>
      <x:c r="H5" s="2"/>
      <x:c r="I5" s="2" t="str">
        <x:v>Bear</x:v>
      </x:c>
      <x:c r="J5" s="2" t="n">
        <x:f>G21</x:f>
        <x:v>189.57232727779584</x:v>
      </x:c>
      <x:c r="K5" s="2"/>
      <x:c r="L5" s="2"/>
      <x:c r="M5" s="2"/>
      <x:c r="N5" s="2"/>
    </x:row>
    <x:row r="6">
      <x:c r="A6" s="2" t="str">
        <x:v>Diluted shares</x:v>
      </x:c>
      <x:c r="B6" s="22" t="n">
        <x:v>107.615</x:v>
      </x:c>
      <x:c r="C6" s="2" t="str">
        <x:v>mn</x:v>
      </x:c>
      <x:c r="D6" s="2" t="str">
        <x:v>S1</x:v>
      </x:c>
      <x:c r="E6" s="2" t="str">
        <x:v>Q1 diluted share count</x:v>
      </x:c>
      <x:c r="F6" s="2"/>
      <x:c r="G6" s="2"/>
      <x:c r="H6" s="2"/>
      <x:c r="I6" s="2" t="str">
        <x:v>Base</x:v>
      </x:c>
      <x:c r="J6" s="2" t="n">
        <x:f>G22</x:f>
        <x:v>269.4868373368025</x:v>
      </x:c>
      <x:c r="K6" s="2"/>
      <x:c r="L6" s="2"/>
      <x:c r="M6" s="2"/>
      <x:c r="N6" s="2"/>
    </x:row>
    <x:row r="7">
      <x:c r="A7" s="2" t="str">
        <x:v>Market cap</x:v>
      </x:c>
      <x:c r="B7" s="22" t="n">
        <x:f>B5*B6/1000</x:f>
        <x:v>31.154004425</x:v>
      </x:c>
      <x:c r="C7" s="2" t="str">
        <x:v>USD bn</x:v>
      </x:c>
      <x:c r="D7" s="2" t="str">
        <x:v>Formula</x:v>
      </x:c>
      <x:c r="E7" s="2" t="str">
        <x:v>Current price x diluted shares / 1000</x:v>
      </x:c>
      <x:c r="F7" s="2"/>
      <x:c r="G7" s="2"/>
      <x:c r="H7" s="2"/>
      <x:c r="I7" s="2" t="str">
        <x:v>Bull</x:v>
      </x:c>
      <x:c r="J7" s="2" t="n">
        <x:f>G23</x:f>
        <x:v>375.4200250894393</x:v>
      </x:c>
      <x:c r="K7" s="2"/>
      <x:c r="L7" s="2"/>
      <x:c r="M7" s="2"/>
      <x:c r="N7" s="2"/>
    </x:row>
    <x:row r="8">
      <x:c r="A8" s="2" t="str">
        <x:v>Net cash</x:v>
      </x:c>
      <x:c r="B8" s="22" t="n">
        <x:v>2.000826</x:v>
      </x:c>
      <x:c r="C8" s="2" t="str">
        <x:v>USD bn</x:v>
      </x:c>
      <x:c r="D8" s="2" t="str">
        <x:v>S1;S2</x:v>
      </x:c>
      <x:c r="E8" s="2" t="str">
        <x:v>Cash and securities less debt</x:v>
      </x:c>
      <x:c r="F8" s="2"/>
      <x:c r="G8" s="2"/>
      <x:c r="H8" s="2"/>
      <x:c r="I8" s="2"/>
      <x:c r="J8" s="2"/>
      <x:c r="K8" s="2"/>
      <x:c r="L8" s="2"/>
      <x:c r="M8" s="2"/>
      <x:c r="N8" s="2"/>
    </x:row>
    <x:row r="9">
      <x:c r="A9" s="2" t="str">
        <x:v>Enterprise value</x:v>
      </x:c>
      <x:c r="B9" s="22" t="n">
        <x:f>B7-B8</x:f>
        <x:v>29.153178425</x:v>
      </x:c>
      <x:c r="C9" s="2" t="str">
        <x:v>USD bn</x:v>
      </x:c>
      <x:c r="D9" s="2" t="str">
        <x:v>Formula</x:v>
      </x:c>
      <x:c r="E9" s="2" t="str">
        <x:v>Market cap less net cash</x:v>
      </x:c>
      <x:c r="F9" s="2"/>
      <x:c r="G9" s="2"/>
      <x:c r="H9" s="2"/>
      <x:c r="I9" s="2"/>
      <x:c r="J9" s="2"/>
      <x:c r="K9" s="2"/>
      <x:c r="L9" s="2"/>
      <x:c r="M9" s="2"/>
      <x:c r="N9" s="2"/>
    </x:row>
    <x:row r="10">
      <x:c r="A10" s="2" t="str">
        <x:v>FY2026 sales midpoint</x:v>
      </x:c>
      <x:c r="B10" s="22" t="n">
        <x:v>5.05</x:v>
      </x:c>
      <x:c r="C10" s="2" t="str">
        <x:v>USD bn</x:v>
      </x:c>
      <x:c r="D10" s="2" t="str">
        <x:v>S1;S3</x:v>
      </x:c>
      <x:c r="E10" s="2" t="str">
        <x:v>Guidance midpoint</x:v>
      </x:c>
      <x:c r="F10" s="2"/>
      <x:c r="G10" s="2"/>
      <x:c r="H10" s="2"/>
      <x:c r="I10" s="2"/>
      <x:c r="J10" s="2"/>
      <x:c r="K10" s="2"/>
      <x:c r="L10" s="2"/>
      <x:c r="M10" s="2"/>
      <x:c r="N10" s="2"/>
    </x:row>
    <x:row r="11">
      <x:c r="A11" s="2" t="str">
        <x:v>FY2026 adj. EBITDA midpoint</x:v>
      </x:c>
      <x:c r="B11" s="22" t="n">
        <x:v>2.7</x:v>
      </x:c>
      <x:c r="C11" s="2" t="str">
        <x:v>USD bn</x:v>
      </x:c>
      <x:c r="D11" s="2" t="str">
        <x:v>S1;S3</x:v>
      </x:c>
      <x:c r="E11" s="2" t="str">
        <x:v>Guidance midpoint</x:v>
      </x:c>
      <x:c r="F11" s="2"/>
      <x:c r="G11" s="2"/>
      <x:c r="H11" s="2"/>
      <x:c r="I11" s="2"/>
      <x:c r="J11" s="2"/>
      <x:c r="K11" s="2"/>
      <x:c r="L11" s="2"/>
      <x:c r="M11" s="2"/>
      <x:c r="N11" s="2"/>
    </x:row>
    <x:row r="12">
      <x:c r="A12" s="2" t="str">
        <x:v>TTM EPS</x:v>
      </x:c>
      <x:c r="B12" s="22" t="n">
        <x:v>15.480000000000002</x:v>
      </x:c>
      <x:c r="C12" s="2" t="str">
        <x:v>USD/share</x:v>
      </x:c>
      <x:c r="D12" s="2" t="str">
        <x:v>S1;S4</x:v>
      </x:c>
      <x:c r="E12" s="2" t="str">
        <x:v>FY2025 EPS - Q1 2025 + Q1 2026</x:v>
      </x:c>
      <x:c r="F12" s="2"/>
      <x:c r="G12" s="2"/>
      <x:c r="H12" s="2"/>
      <x:c r="I12" s="2"/>
      <x:c r="J12" s="2"/>
      <x:c r="K12" s="2"/>
      <x:c r="L12" s="2"/>
      <x:c r="M12" s="2"/>
      <x:c r="N12" s="2"/>
    </x:row>
    <x:row r="13">
      <x:c r="A13" s="2" t="str">
        <x:v>P/E TTM</x:v>
      </x:c>
      <x:c r="B13" s="22" t="n">
        <x:f>B5/B12</x:f>
        <x:v>18.701227390180875</x:v>
      </x:c>
      <x:c r="C13" s="2" t="str">
        <x:v>x</x:v>
      </x:c>
      <x:c r="D13" s="2" t="str">
        <x:v>Formula</x:v>
      </x:c>
      <x:c r="E13" s="2" t="str">
        <x:v>Current price / TTM EPS</x:v>
      </x:c>
      <x:c r="F13" s="2"/>
      <x:c r="G13" s="2"/>
      <x:c r="H13" s="2"/>
      <x:c r="I13" s="2"/>
      <x:c r="J13" s="2"/>
      <x:c r="K13" s="2"/>
      <x:c r="L13" s="2"/>
      <x:c r="M13" s="2"/>
      <x:c r="N13" s="2"/>
    </x:row>
    <x:row r="14">
      <x:c r="A14" s="2" t="str">
        <x:v>EV / FY2026 sales</x:v>
      </x:c>
      <x:c r="B14" s="22" t="n">
        <x:f>B9/B10</x:f>
        <x:v>5.772906618811882</x:v>
      </x:c>
      <x:c r="C14" s="2" t="str">
        <x:v>x</x:v>
      </x:c>
      <x:c r="D14" s="2" t="str">
        <x:v>Formula</x:v>
      </x:c>
      <x:c r="E14" s="2" t="str">
        <x:v>EV / sales midpoint</x:v>
      </x:c>
      <x:c r="F14" s="2"/>
      <x:c r="G14" s="2"/>
      <x:c r="H14" s="2"/>
      <x:c r="I14" s="2"/>
      <x:c r="J14" s="2"/>
      <x:c r="K14" s="2"/>
      <x:c r="L14" s="2"/>
      <x:c r="M14" s="2"/>
      <x:c r="N14" s="2"/>
    </x:row>
    <x:row r="15">
      <x:c r="A15" s="2" t="str">
        <x:v>EV / FY2026 EBITDA</x:v>
      </x:c>
      <x:c r="B15" s="22" t="n">
        <x:f>B9/B11</x:f>
        <x:v>10.79747349074074</x:v>
      </x:c>
      <x:c r="C15" s="2" t="str">
        <x:v>x</x:v>
      </x:c>
      <x:c r="D15" s="2" t="str">
        <x:v>Formula</x:v>
      </x:c>
      <x:c r="E15" s="2" t="str">
        <x:v>EV / EBITDA midpoint</x:v>
      </x:c>
      <x:c r="F15" s="2"/>
      <x:c r="G15" s="2"/>
      <x:c r="H15" s="2"/>
      <x:c r="I15" s="2"/>
      <x:c r="J15" s="2"/>
      <x:c r="K15" s="2"/>
      <x:c r="L15" s="2"/>
      <x:c r="M15" s="2"/>
      <x:c r="N15" s="2"/>
    </x:row>
    <x:row r="16">
      <x:c r="A16" s="2" t="str">
        <x:v>Backlog GW</x:v>
      </x:c>
      <x:c r="B16" s="22" t="n">
        <x:v>47.9</x:v>
      </x:c>
      <x:c r="C16" s="2" t="str">
        <x:v>GW</x:v>
      </x:c>
      <x:c r="D16" s="2" t="str">
        <x:v>S1;S3</x:v>
      </x:c>
      <x:c r="E16" s="2" t="str"/>
      <x:c r="F16" s="2"/>
      <x:c r="G16" s="2"/>
      <x:c r="H16" s="2"/>
      <x:c r="I16" s="2"/>
      <x:c r="J16" s="2"/>
      <x:c r="K16" s="2"/>
      <x:c r="L16" s="2"/>
      <x:c r="M16" s="2"/>
      <x:c r="N16" s="2"/>
    </x:row>
    <x:row r="17">
      <x:c r="A17" s="2" t="str">
        <x:v>Backlog value</x:v>
      </x:c>
      <x:c r="B17" s="22" t="n">
        <x:v>14.4</x:v>
      </x:c>
      <x:c r="C17" s="2" t="str">
        <x:v>USD bn</x:v>
      </x:c>
      <x:c r="D17" s="2" t="str">
        <x:v>S1;S3</x:v>
      </x:c>
      <x:c r="E17" s="2" t="str"/>
      <x:c r="F17" s="2"/>
      <x:c r="G17" s="2"/>
      <x:c r="H17" s="2"/>
      <x:c r="I17" s="2"/>
      <x:c r="J17" s="2"/>
      <x:c r="K17" s="2"/>
      <x:c r="L17" s="2"/>
      <x:c r="M17" s="2"/>
      <x:c r="N17" s="2"/>
    </x:row>
    <x:row r="18">
      <x:c r="A18" s="2" t="str">
        <x:v>Backlog ASP</x:v>
      </x:c>
      <x:c r="B18" s="22" t="n">
        <x:f>B17/B16</x:f>
        <x:v>0.3006263048016702</x:v>
      </x:c>
      <x:c r="C18" s="2" t="str">
        <x:v>USD/W</x:v>
      </x:c>
      <x:c r="D18" s="2" t="str">
        <x:v>Formula</x:v>
      </x:c>
      <x:c r="E18" s="2" t="str">
        <x:v>Backlog value / backlog GW</x:v>
      </x:c>
      <x:c r="F18" s="2"/>
      <x:c r="G18" s="2"/>
      <x:c r="H18" s="2"/>
      <x:c r="I18" s="2"/>
      <x:c r="J18" s="2"/>
      <x:c r="K18" s="2"/>
      <x:c r="L18" s="2"/>
      <x:c r="M18" s="2"/>
      <x:c r="N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</x:row>
    <x:row r="20">
      <x:c r="A20" s="13" t="str">
        <x:v>Scenario</x:v>
      </x:c>
      <x:c r="B20" s="13" t="str">
        <x:v>Description</x:v>
      </x:c>
      <x:c r="C20" s="13" t="str">
        <x:v>FY2026 EBITDA</x:v>
      </x:c>
      <x:c r="D20" s="13" t="str">
        <x:v>EV/EBITDA</x:v>
      </x:c>
      <x:c r="E20" s="13" t="str">
        <x:v>Net Cash</x:v>
      </x:c>
      <x:c r="F20" s="13" t="str">
        <x:v>Implied Equity Value</x:v>
      </x:c>
      <x:c r="G20" s="13" t="str">
        <x:v>Implied Price</x:v>
      </x:c>
      <x:c r="H20" s="2"/>
      <x:c r="I20" s="2"/>
      <x:c r="J20" s="2"/>
      <x:c r="K20" s="2"/>
      <x:c r="L20" s="2"/>
      <x:c r="M20" s="2"/>
      <x:c r="N20" s="2"/>
    </x:row>
    <x:row r="21">
      <x:c r="A21" s="2" t="str">
        <x:v>Bear</x:v>
      </x:c>
      <x:c r="B21" s="2" t="str">
        <x:v>政策支持边际变弱，新增订单价格走低，产能爬坡和现金税抵消部分 45X 好处</x:v>
      </x:c>
      <x:c r="C21" s="23" t="n">
        <x:v>2.3</x:v>
      </x:c>
      <x:c r="D21" s="23" t="n">
        <x:v>8</x:v>
      </x:c>
      <x:c r="E21" s="23" t="n">
        <x:v>2.000826</x:v>
      </x:c>
      <x:c r="F21" s="23" t="n">
        <x:f>C21*D21+E21</x:f>
        <x:v>20.400826</x:v>
      </x:c>
      <x:c r="G21" s="15" t="n">
        <x:f>F21*1000/$B$6</x:f>
        <x:v>189.57232727779584</x:v>
      </x:c>
      <x:c r="H21" s="2"/>
      <x:c r="I21" s="2"/>
      <x:c r="J21" s="2"/>
      <x:c r="K21" s="2"/>
      <x:c r="L21" s="2"/>
      <x:c r="M21" s="2"/>
      <x:c r="N21" s="2"/>
    </x:row>
    <x:row r="22">
      <x:c r="A22" s="2" t="str">
        <x:v>Base</x:v>
      </x:c>
      <x:c r="B22" s="2" t="str">
        <x:v>2026 指引基本兑现，45X 现金/税务收益可持续，backlog ASP 稳住但不显著扩张</x:v>
      </x:c>
      <x:c r="C22" s="23" t="n">
        <x:v>2.7</x:v>
      </x:c>
      <x:c r="D22" s="23" t="n">
        <x:v>10</x:v>
      </x:c>
      <x:c r="E22" s="23" t="n">
        <x:v>2.000826</x:v>
      </x:c>
      <x:c r="F22" s="23" t="n">
        <x:f>C22*D22+E22</x:f>
        <x:v>29.000826</x:v>
      </x:c>
      <x:c r="G22" s="15" t="n">
        <x:f>F22*1000/$B$6</x:f>
        <x:v>269.4868373368025</x:v>
      </x:c>
      <x:c r="H22" s="2"/>
      <x:c r="I22" s="2"/>
      <x:c r="J22" s="2"/>
      <x:c r="K22" s="2"/>
      <x:c r="L22" s="2"/>
      <x:c r="M22" s="2"/>
      <x:c r="N22" s="2"/>
    </x:row>
    <x:row r="23">
      <x:c r="A23" s="2" t="str">
        <x:v>Bull</x:v>
      </x:c>
      <x:c r="B23" s="2" t="str">
        <x:v>Section 232/贸易保护强化美国供应稀缺性，CuRe/Series 7 量产改善效率，2027-2028 新单价格好于预期</x:v>
      </x:c>
      <x:c r="C23" s="23" t="n">
        <x:v>3.2</x:v>
      </x:c>
      <x:c r="D23" s="23" t="n">
        <x:v>12</x:v>
      </x:c>
      <x:c r="E23" s="23" t="n">
        <x:v>2.000826</x:v>
      </x:c>
      <x:c r="F23" s="23" t="n">
        <x:f>C23*D23+E23</x:f>
        <x:v>40.40082600000001</x:v>
      </x:c>
      <x:c r="G23" s="15" t="n">
        <x:f>F23*1000/$B$6</x:f>
        <x:v>375.4200250894393</x:v>
      </x:c>
      <x:c r="H23" s="2"/>
      <x:c r="I23" s="2"/>
      <x:c r="J23" s="2"/>
      <x:c r="K23" s="2"/>
      <x:c r="L23" s="2"/>
      <x:c r="M23" s="2"/>
      <x:c r="N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8966cc05e05145ef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23.75" hidden="0" customWidth="1"/>
    <x:col min="3" max="3" width="16.25" hidden="0" customWidth="1"/>
    <x:col min="4" max="4" width="16.25" hidden="0" customWidth="1"/>
    <x:col min="5" max="5" width="16.25" hidden="0" customWidth="1"/>
    <x:col min="6" max="6" width="16.25" hidden="0" customWidth="1"/>
    <x:col min="7" max="7" width="16.25" hidden="0" customWidth="1"/>
    <x:col min="8" max="8" width="16.25" hidden="0" customWidth="1"/>
    <x:col min="9" max="9" width="16.25" hidden="0" customWidth="1"/>
    <x:col min="10" max="10" width="16.25" hidden="0" customWidth="1"/>
    <x:col min="11" max="11" width="16.25" hidden="0" customWidth="1"/>
    <x:col min="12" max="12" width="16.25" hidden="0" customWidth="1"/>
    <x:col min="13" max="13" width="16.25" hidden="0" customWidth="1"/>
    <x:col min="14" max="14" width="16.25" hidden="0" customWidth="1"/>
  </x:cols>
  <x:sheetData>
    <x:row r="1">
      <x:c r="A1" s="4" t="str">
        <x:v>Peers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>
      <x:c r="A2" s="6" t="str">
        <x:v>同行估值快照；FSLR 同时给出公司口径 cross-check。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>
      <x:c r="A4" s="19" t="str">
        <x:v>ticker</x:v>
      </x:c>
      <x:c r="B4" s="19" t="str">
        <x:v>company</x:v>
      </x:c>
      <x:c r="C4" s="19" t="str">
        <x:v>segment</x:v>
      </x:c>
      <x:c r="D4" s="19" t="str">
        <x:v>price_usd</x:v>
      </x:c>
      <x:c r="E4" s="19" t="str">
        <x:v>market_cap_usd_bn</x:v>
      </x:c>
      <x:c r="F4" s="19" t="str">
        <x:v>enterprise_value_usd_bn</x:v>
      </x:c>
      <x:c r="G4" s="19" t="str">
        <x:v>pe_ttm</x:v>
      </x:c>
      <x:c r="H4" s="19" t="str">
        <x:v>forward_pe</x:v>
      </x:c>
      <x:c r="I4" s="19" t="str">
        <x:v>ps_ttm</x:v>
      </x:c>
      <x:c r="J4" s="19" t="str">
        <x:v>ev_sales_ttm</x:v>
      </x:c>
      <x:c r="K4" s="19" t="str">
        <x:v>ev_ebitda_ttm</x:v>
      </x:c>
      <x:c r="L4" s="19" t="str">
        <x:v>source_id</x:v>
      </x:c>
      <x:c r="M4" s="19" t="str">
        <x:v>quote_source_id</x:v>
      </x:c>
      <x:c r="N4" s="19" t="str">
        <x:v>note</x:v>
      </x:c>
      <x:c r="O4" s="28" t="str">
        <x:v>market_cap_company_basis_usd_bn</x:v>
      </x:c>
      <x:c r="P4" s="28" t="str">
        <x:v>ev_company_basis_usd_bn</x:v>
      </x:c>
      <x:c r="Q4" s="28" t="str">
        <x:v>pe_ttm_company_basis</x:v>
      </x:c>
      <x:c r="R4" s="28" t="str">
        <x:v>ev_sales_fy2026_mid_company_basis</x:v>
      </x:c>
      <x:c r="S4" s="28" t="str">
        <x:v>ev_ebitda_fy2026_mid_company_basis</x:v>
      </x:c>
    </x:row>
    <x:row r="5">
      <x:c r="A5" s="20" t="str">
        <x:v>FSLR</x:v>
      </x:c>
      <x:c r="B5" s="20" t="str">
        <x:v>First Solar</x:v>
      </x:c>
      <x:c r="C5" s="20" t="str">
        <x:v>CdTe modules, U.S. manufacturing</x:v>
      </x:c>
      <x:c r="D5" s="30" t="n">
        <x:v>289.495</x:v>
      </x:c>
      <x:c r="E5" s="30" t="n">
        <x:v>31.16</x:v>
      </x:c>
      <x:c r="F5" s="30" t="n">
        <x:v>27.57</x:v>
      </x:c>
      <x:c r="G5" s="30" t="n">
        <x:v>18.74</x:v>
      </x:c>
      <x:c r="H5" s="30" t="n">
        <x:v>15.08</x:v>
      </x:c>
      <x:c r="I5" s="30" t="n">
        <x:v>5.43</x:v>
      </x:c>
      <x:c r="J5" s="30" t="n">
        <x:v>5.09</x:v>
      </x:c>
      <x:c r="K5" s="30" t="n">
        <x:v>12.13</x:v>
      </x:c>
      <x:c r="L5" s="30" t="str">
        <x:v>S12</x:v>
      </x:c>
      <x:c r="M5" s="30" t="str">
        <x:v>S11</x:v>
      </x:c>
      <x:c r="N5" s="30" t="str">
        <x:v>Secondary market data snapshot; FSLR valuation cross-checks also use company filings and guidance.</x:v>
      </x:c>
      <x:c r="O5" s="31" t="n">
        <x:v>31.15</x:v>
      </x:c>
      <x:c r="P5" s="31" t="n">
        <x:v>29.15</x:v>
      </x:c>
      <x:c r="Q5" s="31" t="n">
        <x:v>18.7</x:v>
      </x:c>
      <x:c r="R5" s="29" t="n">
        <x:v>5.77</x:v>
      </x:c>
      <x:c r="S5" s="29" t="n">
        <x:v>10.8</x:v>
      </x:c>
    </x:row>
    <x:row r="6">
      <x:c r="A6" s="20" t="str">
        <x:v>ENPH</x:v>
      </x:c>
      <x:c r="B6" s="20" t="str">
        <x:v>Enphase Energy</x:v>
      </x:c>
      <x:c r="C6" s="20" t="str">
        <x:v>microinverters/storage</x:v>
      </x:c>
      <x:c r="D6" s="30" t="n">
        <x:v>68.981</x:v>
      </x:c>
      <x:c r="E6" s="30" t="n">
        <x:v>9.11</x:v>
      </x:c>
      <x:c r="F6" s="30" t="n">
        <x:v>8.94</x:v>
      </x:c>
      <x:c r="G6" s="30" t="n">
        <x:v>67.73</x:v>
      </x:c>
      <x:c r="H6" s="30" t="n">
        <x:v>33.91</x:v>
      </x:c>
      <x:c r="I6" s="30" t="n">
        <x:v>6.62</x:v>
      </x:c>
      <x:c r="J6" s="30" t="n">
        <x:v>6.39</x:v>
      </x:c>
      <x:c r="K6" s="30" t="n">
        <x:v>49.92</x:v>
      </x:c>
      <x:c r="L6" s="30" t="str">
        <x:v>S12</x:v>
      </x:c>
      <x:c r="M6" s="30" t="str">
        <x:v>S11</x:v>
      </x:c>
      <x:c r="N6" s="30" t="str">
        <x:v>Secondary market data snapshot; FSLR valuation cross-checks also use company filings and guidance.</x:v>
      </x:c>
      <x:c r="O6" s="31" t="str"/>
      <x:c r="P6" s="31" t="str"/>
      <x:c r="Q6" s="31" t="str"/>
      <x:c r="R6" s="29" t="str"/>
      <x:c r="S6" s="29" t="str"/>
    </x:row>
    <x:row r="7">
      <x:c r="A7" s="20" t="str">
        <x:v>SEDG</x:v>
      </x:c>
      <x:c r="B7" s="20" t="str">
        <x:v>SolarEdge Technologies</x:v>
      </x:c>
      <x:c r="C7" s="20" t="str">
        <x:v>inverters/optimizer</x:v>
      </x:c>
      <x:c r="D7" s="30" t="n">
        <x:v>71.7</x:v>
      </x:c>
      <x:c r="E7" s="30" t="n">
        <x:v>4.42</x:v>
      </x:c>
      <x:c r="F7" s="30" t="n">
        <x:v>4.32</x:v>
      </x:c>
      <x:c r="G7" s="30" t="str"/>
      <x:c r="H7" s="30" t="n">
        <x:v>123.83</x:v>
      </x:c>
      <x:c r="I7" s="30" t="n">
        <x:v>3.49</x:v>
      </x:c>
      <x:c r="J7" s="30" t="n">
        <x:v>3.38</x:v>
      </x:c>
      <x:c r="K7" s="30" t="str"/>
      <x:c r="L7" s="30" t="str">
        <x:v>S12</x:v>
      </x:c>
      <x:c r="M7" s="30" t="str">
        <x:v>S11</x:v>
      </x:c>
      <x:c r="N7" s="30" t="str">
        <x:v>Secondary market data snapshot; FSLR valuation cross-checks also use company filings and guidance.</x:v>
      </x:c>
      <x:c r="O7" s="31" t="str"/>
      <x:c r="P7" s="31" t="str"/>
      <x:c r="Q7" s="31" t="str"/>
      <x:c r="R7" s="29" t="str"/>
      <x:c r="S7" s="29" t="str"/>
    </x:row>
    <x:row r="8">
      <x:c r="A8" s="20" t="str">
        <x:v>CSIQ</x:v>
      </x:c>
      <x:c r="B8" s="20" t="str">
        <x:v>Canadian Solar</x:v>
      </x:c>
      <x:c r="C8" s="20" t="str">
        <x:v>modules/projects/storage</x:v>
      </x:c>
      <x:c r="D8" s="30" t="n">
        <x:v>19.69</x:v>
      </x:c>
      <x:c r="E8" s="30" t="n">
        <x:v>1.32</x:v>
      </x:c>
      <x:c r="F8" s="30" t="n">
        <x:v>6.93</x:v>
      </x:c>
      <x:c r="G8" s="30" t="str"/>
      <x:c r="H8" s="30" t="str"/>
      <x:c r="I8" s="30" t="n">
        <x:v>0.24</x:v>
      </x:c>
      <x:c r="J8" s="30" t="n">
        <x:v>1.27</x:v>
      </x:c>
      <x:c r="K8" s="30" t="n">
        <x:v>8.14</x:v>
      </x:c>
      <x:c r="L8" s="30" t="str">
        <x:v>S12</x:v>
      </x:c>
      <x:c r="M8" s="30" t="str">
        <x:v>S11</x:v>
      </x:c>
      <x:c r="N8" s="30" t="str">
        <x:v>Secondary market data snapshot; FSLR valuation cross-checks also use company filings and guidance.</x:v>
      </x:c>
      <x:c r="O8" s="31" t="str"/>
      <x:c r="P8" s="31" t="str"/>
      <x:c r="Q8" s="31" t="str"/>
      <x:c r="R8" s="29" t="str"/>
      <x:c r="S8" s="29" t="str"/>
    </x:row>
    <x:row r="9">
      <x:c r="A9" s="20" t="str">
        <x:v>JKS</x:v>
      </x:c>
      <x:c r="B9" s="20" t="str">
        <x:v>JinkoSolar</x:v>
      </x:c>
      <x:c r="C9" s="20" t="str">
        <x:v>modules/global manufacturing</x:v>
      </x:c>
      <x:c r="D9" s="30" t="n">
        <x:v>22.662</x:v>
      </x:c>
      <x:c r="E9" s="30" t="n">
        <x:v>1.2</x:v>
      </x:c>
      <x:c r="F9" s="30" t="n">
        <x:v>4.17</x:v>
      </x:c>
      <x:c r="G9" s="30" t="str"/>
      <x:c r="H9" s="30" t="str"/>
      <x:c r="I9" s="30" t="n">
        <x:v>0.13</x:v>
      </x:c>
      <x:c r="J9" s="30" t="n">
        <x:v>0.45</x:v>
      </x:c>
      <x:c r="K9" s="30" t="n">
        <x:v>9.52</x:v>
      </x:c>
      <x:c r="L9" s="30" t="str">
        <x:v>S12</x:v>
      </x:c>
      <x:c r="M9" s="30" t="str">
        <x:v>S11</x:v>
      </x:c>
      <x:c r="N9" s="30" t="str">
        <x:v>Secondary market data snapshot; FSLR valuation cross-checks also use company filings and guidance.</x:v>
      </x:c>
      <x:c r="O9" s="31" t="str"/>
      <x:c r="P9" s="31" t="str"/>
      <x:c r="Q9" s="31" t="str"/>
      <x:c r="R9" s="29" t="str"/>
      <x:c r="S9" s="29" t="str"/>
    </x:row>
    <x:row r="10">
      <x:c r="A10" s="20" t="str">
        <x:v>ARRY</x:v>
      </x:c>
      <x:c r="B10" s="20" t="str">
        <x:v>Array Technologies</x:v>
      </x:c>
      <x:c r="C10" s="20" t="str">
        <x:v>trackers</x:v>
      </x:c>
      <x:c r="D10" s="30" t="n">
        <x:v>8.941</x:v>
      </x:c>
      <x:c r="E10" s="30" t="n">
        <x:v>1.39</x:v>
      </x:c>
      <x:c r="F10" s="30" t="n">
        <x:v>1.95</x:v>
      </x:c>
      <x:c r="G10" s="30" t="str"/>
      <x:c r="H10" s="30" t="n">
        <x:v>12.22</x:v>
      </x:c>
      <x:c r="I10" s="30" t="n">
        <x:v>1.15</x:v>
      </x:c>
      <x:c r="J10" s="30" t="n">
        <x:v>1.62</x:v>
      </x:c>
      <x:c r="K10" s="30" t="n">
        <x:v>15.63</x:v>
      </x:c>
      <x:c r="L10" s="30" t="str">
        <x:v>S12</x:v>
      </x:c>
      <x:c r="M10" s="30" t="str">
        <x:v>S11</x:v>
      </x:c>
      <x:c r="N10" s="30" t="str">
        <x:v>Secondary market data snapshot; FSLR valuation cross-checks also use company filings and guidance.</x:v>
      </x:c>
      <x:c r="O10" s="31" t="str"/>
      <x:c r="P10" s="31" t="str"/>
      <x:c r="Q10" s="31" t="str"/>
      <x:c r="R10" s="29" t="str"/>
      <x:c r="S10" s="29" t="str"/>
    </x:row>
    <x:row r="11">
      <x:c r="A11" s="20" t="str">
        <x:v>SHLS</x:v>
      </x:c>
      <x:c r="B11" s="20" t="str">
        <x:v>Shoals Technologies</x:v>
      </x:c>
      <x:c r="C11" s="20" t="str">
        <x:v>EBOS</x:v>
      </x:c>
      <x:c r="D11" s="30" t="n">
        <x:v>12.15</x:v>
      </x:c>
      <x:c r="E11" s="30" t="n">
        <x:v>2.05</x:v>
      </x:c>
      <x:c r="F11" s="30" t="n">
        <x:v>2.25</x:v>
      </x:c>
      <x:c r="G11" s="30" t="n">
        <x:v>60.98</x:v>
      </x:c>
      <x:c r="H11" s="30" t="n">
        <x:v>26.52</x:v>
      </x:c>
      <x:c r="I11" s="30" t="n">
        <x:v>3.8</x:v>
      </x:c>
      <x:c r="J11" s="30" t="n">
        <x:v>4.2</x:v>
      </x:c>
      <x:c r="K11" s="30" t="n">
        <x:v>23.96</x:v>
      </x:c>
      <x:c r="L11" s="30" t="str">
        <x:v>S12</x:v>
      </x:c>
      <x:c r="M11" s="30" t="str">
        <x:v>S11</x:v>
      </x:c>
      <x:c r="N11" s="30" t="str">
        <x:v>Secondary market data snapshot; FSLR valuation cross-checks also use company filings and guidance.</x:v>
      </x:c>
      <x:c r="O11" s="31" t="str"/>
      <x:c r="P11" s="31" t="str"/>
      <x:c r="Q11" s="31" t="str"/>
      <x:c r="R11" s="29" t="str"/>
      <x:c r="S11" s="29" t="str"/>
    </x:row>
    <x:row r="12">
      <x:c r="A12" s="20" t="str">
        <x:v>NXT</x:v>
      </x:c>
      <x:c r="B12" s="20" t="str">
        <x:v>Nextpower</x:v>
      </x:c>
      <x:c r="C12" s="20" t="str">
        <x:v>trackers/software</x:v>
      </x:c>
      <x:c r="D12" s="30" t="n">
        <x:v>133.116</x:v>
      </x:c>
      <x:c r="E12" s="30" t="n">
        <x:v>20.12</x:v>
      </x:c>
      <x:c r="F12" s="30" t="n">
        <x:v>19.31</x:v>
      </x:c>
      <x:c r="G12" s="30" t="n">
        <x:v>34.88</x:v>
      </x:c>
      <x:c r="H12" s="30" t="n">
        <x:v>28.9</x:v>
      </x:c>
      <x:c r="I12" s="30" t="n">
        <x:v>5.73</x:v>
      </x:c>
      <x:c r="J12" s="30" t="n">
        <x:v>5.43</x:v>
      </x:c>
      <x:c r="K12" s="30" t="n">
        <x:v>26.16</x:v>
      </x:c>
      <x:c r="L12" s="30" t="str">
        <x:v>S12</x:v>
      </x:c>
      <x:c r="M12" s="30" t="str">
        <x:v>S11</x:v>
      </x:c>
      <x:c r="N12" s="30" t="str">
        <x:v>Secondary market data snapshot; FSLR valuation cross-checks also use company filings and guidance.</x:v>
      </x:c>
      <x:c r="O12" s="31" t="str"/>
      <x:c r="P12" s="31" t="str"/>
      <x:c r="Q12" s="31" t="str"/>
      <x:c r="R12" s="29" t="str"/>
      <x:c r="S12" s="29" t="str"/>
    </x:row>
    <x:row r="13">
      <x:c r="A13" s="20" t="str">
        <x:v>RUN</x:v>
      </x:c>
      <x:c r="B13" s="20" t="str">
        <x:v>Sunrun</x:v>
      </x:c>
      <x:c r="C13" s="20" t="str">
        <x:v>residential solar/service</x:v>
      </x:c>
      <x:c r="D13" s="30" t="n">
        <x:v>15.24</x:v>
      </x:c>
      <x:c r="E13" s="30" t="n">
        <x:v>3.65</x:v>
      </x:c>
      <x:c r="F13" s="30" t="n">
        <x:v>17.89</x:v>
      </x:c>
      <x:c r="G13" s="30" t="n">
        <x:v>7.23</x:v>
      </x:c>
      <x:c r="H13" s="30" t="n">
        <x:v>26.49</x:v>
      </x:c>
      <x:c r="I13" s="30" t="n">
        <x:v>1.16</x:v>
      </x:c>
      <x:c r="J13" s="30" t="n">
        <x:v>5.63</x:v>
      </x:c>
      <x:c r="K13" s="30" t="n">
        <x:v>26</x:v>
      </x:c>
      <x:c r="L13" s="30" t="str">
        <x:v>S12</x:v>
      </x:c>
      <x:c r="M13" s="30" t="str">
        <x:v>S11</x:v>
      </x:c>
      <x:c r="N13" s="30" t="str">
        <x:v>Secondary market data snapshot; FSLR valuation cross-checks also use company filings and guidance.</x:v>
      </x:c>
      <x:c r="O13" s="31" t="str"/>
      <x:c r="P13" s="31" t="str"/>
      <x:c r="Q13" s="31" t="str"/>
      <x:c r="R13" s="29" t="str"/>
      <x:c r="S13" s="29" t="str"/>
    </x:row>
    <x:row r="14">
      <x:c r="A14" s="2"/>
      <x:c r="B14" s="2"/>
      <x:c r="C14" s="2"/>
      <x:c r="D14" s="22"/>
      <x:c r="E14" s="22"/>
      <x:c r="F14" s="22"/>
      <x:c r="G14" s="22"/>
      <x:c r="H14" s="22"/>
      <x:c r="I14" s="22"/>
      <x:c r="J14" s="22"/>
      <x:c r="K14" s="22"/>
      <x:c r="L14" s="22"/>
      <x:c r="M14" s="22"/>
      <x:c r="N14" s="22"/>
      <x:c r="O14" s="32"/>
      <x:c r="P14" s="32"/>
      <x:c r="Q14" s="32"/>
    </x:row>
    <x:row r="15">
      <x:c r="A15" s="2"/>
      <x:c r="B15" s="2"/>
      <x:c r="C15" s="2"/>
      <x:c r="D15" s="22"/>
      <x:c r="E15" s="22"/>
      <x:c r="F15" s="22"/>
      <x:c r="G15" s="22"/>
      <x:c r="H15" s="22"/>
      <x:c r="I15" s="22"/>
      <x:c r="J15" s="22"/>
      <x:c r="K15" s="22"/>
      <x:c r="L15" s="22"/>
      <x:c r="M15" s="22"/>
      <x:c r="N15" s="22"/>
      <x:c r="O15" s="32"/>
      <x:c r="P15" s="32"/>
      <x:c r="Q15" s="32"/>
    </x:row>
    <x:row r="16">
      <x:c r="A16" s="2"/>
      <x:c r="B16" s="2"/>
      <x:c r="C16" s="2"/>
      <x:c r="D16" s="22"/>
      <x:c r="E16" s="22"/>
      <x:c r="F16" s="22"/>
      <x:c r="G16" s="22"/>
      <x:c r="H16" s="22"/>
      <x:c r="I16" s="22"/>
      <x:c r="J16" s="22"/>
      <x:c r="K16" s="22"/>
      <x:c r="L16" s="22"/>
      <x:c r="M16" s="22"/>
      <x:c r="N16" s="22"/>
      <x:c r="O16" s="32"/>
      <x:c r="P16" s="32"/>
      <x:c r="Q16" s="32"/>
    </x:row>
    <x:row r="17">
      <x:c r="A17" s="2"/>
      <x:c r="B17" s="2"/>
      <x:c r="C17" s="2"/>
      <x:c r="D17" s="22"/>
      <x:c r="E17" s="22"/>
      <x:c r="F17" s="22"/>
      <x:c r="G17" s="22"/>
      <x:c r="H17" s="22"/>
      <x:c r="I17" s="22"/>
      <x:c r="J17" s="22"/>
      <x:c r="K17" s="22"/>
      <x:c r="L17" s="22"/>
      <x:c r="M17" s="22"/>
      <x:c r="N17" s="22"/>
      <x:c r="O17" s="32"/>
      <x:c r="P17" s="32"/>
      <x:c r="Q17" s="32"/>
    </x:row>
    <x:row r="18">
      <x:c r="A18" s="2"/>
      <x:c r="B18" s="2"/>
      <x:c r="C18" s="2"/>
      <x:c r="D18" s="22"/>
      <x:c r="E18" s="22"/>
      <x:c r="F18" s="22"/>
      <x:c r="G18" s="22"/>
      <x:c r="H18" s="22"/>
      <x:c r="I18" s="22"/>
      <x:c r="J18" s="22"/>
      <x:c r="K18" s="22"/>
      <x:c r="L18" s="22"/>
      <x:c r="M18" s="22"/>
      <x:c r="N18" s="22"/>
      <x:c r="O18" s="32"/>
      <x:c r="P18" s="32"/>
      <x:c r="Q18" s="32"/>
    </x:row>
    <x:row r="19">
      <x:c r="A19" s="2"/>
      <x:c r="B19" s="2"/>
      <x:c r="C19" s="2"/>
      <x:c r="D19" s="22"/>
      <x:c r="E19" s="22"/>
      <x:c r="F19" s="22"/>
      <x:c r="G19" s="22"/>
      <x:c r="H19" s="22"/>
      <x:c r="I19" s="22"/>
      <x:c r="J19" s="22"/>
      <x:c r="K19" s="22"/>
      <x:c r="L19" s="22"/>
      <x:c r="M19" s="22"/>
      <x:c r="N19" s="22"/>
      <x:c r="O19" s="32"/>
      <x:c r="P19" s="32"/>
      <x:c r="Q19" s="32"/>
    </x:row>
    <x:row r="20">
      <x:c r="A20" s="2"/>
      <x:c r="B20" s="2"/>
      <x:c r="C20" s="2"/>
      <x:c r="D20" s="22"/>
      <x:c r="E20" s="22"/>
      <x:c r="F20" s="22"/>
      <x:c r="G20" s="22"/>
      <x:c r="H20" s="22"/>
      <x:c r="I20" s="22"/>
      <x:c r="J20" s="22"/>
      <x:c r="K20" s="22"/>
      <x:c r="L20" s="22"/>
      <x:c r="M20" s="22"/>
      <x:c r="N20" s="22"/>
      <x:c r="O20" s="32"/>
      <x:c r="P20" s="32"/>
      <x:c r="Q20" s="3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eca8cd38509f4d5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23.75" hidden="0" customWidth="1"/>
    <x:col min="3" max="3" width="16.25" hidden="0" customWidth="1"/>
    <x:col min="4" max="4" width="16.25" hidden="0" customWidth="1"/>
    <x:col min="5" max="5" width="16.25" hidden="0" customWidth="1"/>
    <x:col min="6" max="6" width="16.25" hidden="0" customWidth="1"/>
    <x:col min="7" max="7" width="16.25" hidden="0" customWidth="1"/>
    <x:col min="8" max="8" width="16.25" hidden="0" customWidth="1"/>
    <x:col min="9" max="9" width="16.25" hidden="0" customWidth="1"/>
    <x:col min="10" max="10" width="16.25" hidden="0" customWidth="1"/>
    <x:col min="11" max="11" width="16.25" hidden="0" customWidth="1"/>
    <x:col min="12" max="12" width="16.25" hidden="0" customWidth="1"/>
    <x:col min="13" max="13" width="16.25" hidden="0" customWidth="1"/>
    <x:col min="14" max="14" width="16.25" hidden="0" customWidth="1"/>
  </x:cols>
  <x:sheetData>
    <x:row r="1">
      <x:c r="A1" s="4" t="str">
        <x:v>Market Reaction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>
      <x:c r="A2" s="6" t="str">
        <x:v>事件窗口市场反应；不是因果证明，只用于观察预期变化。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>
      <x:c r="A4" s="19" t="str">
        <x:v>event_date</x:v>
      </x:c>
      <x:c r="B4" s="19" t="str">
        <x:v>event</x:v>
      </x:c>
      <x:c r="C4" s="19" t="str">
        <x:v>type</x:v>
      </x:c>
      <x:c r="D4" s="19" t="str">
        <x:v>timing</x:v>
      </x:c>
      <x:c r="E4" s="19" t="str">
        <x:v>before_date</x:v>
      </x:c>
      <x:c r="F4" s="19" t="str">
        <x:v>after_date</x:v>
      </x:c>
      <x:c r="G4" s="19" t="str">
        <x:v>fslr_close_before</x:v>
      </x:c>
      <x:c r="H4" s="19" t="str">
        <x:v>fslr_close_after</x:v>
      </x:c>
      <x:c r="I4" s="19" t="str">
        <x:v>fslr_return_pct</x:v>
      </x:c>
      <x:c r="J4" s="19" t="str">
        <x:v>tan_return_pct</x:v>
      </x:c>
      <x:c r="K4" s="19" t="str">
        <x:v>alpha_vs_tan_pct</x:v>
      </x:c>
      <x:c r="L4" s="19" t="str">
        <x:v>source_id</x:v>
      </x:c>
      <x:c r="M4" s="19" t="str">
        <x:v>note</x:v>
      </x:c>
      <x:c r="N4" s="19" t="str">
        <x:v>alpha_formula_pct</x:v>
      </x:c>
      <x:c r="O4" s="34" t="str">
        <x:v>Event</x:v>
      </x:c>
      <x:c r="P4" s="34" t="str">
        <x:v>Alpha</x:v>
      </x:c>
    </x:row>
    <x:row r="5">
      <x:c r="A5" s="20" t="str">
        <x:v>2025-04-21</x:v>
      </x:c>
      <x:c r="B5" s="20" t="str">
        <x:v>Commerce 对东南亚太阳能电池/组件 AD/CVD 作出最终裁定</x:v>
      </x:c>
      <x:c r="C5" s="20" t="str">
        <x:v>trade policy</x:v>
      </x:c>
      <x:c r="D5" s="20" t="str">
        <x:v>intraday_or_before_close</x:v>
      </x:c>
      <x:c r="E5" s="20" t="str">
        <x:v>2025-04-17</x:v>
      </x:c>
      <x:c r="F5" s="30" t="str">
        <x:v>2025-04-21</x:v>
      </x:c>
      <x:c r="G5" s="30" t="n">
        <x:v>127.98</x:v>
      </x:c>
      <x:c r="H5" s="30" t="n">
        <x:v>122.45</x:v>
      </x:c>
      <x:c r="I5" s="30" t="n">
        <x:v>-4.32</x:v>
      </x:c>
      <x:c r="J5" s="30" t="n">
        <x:v>-1.95</x:v>
      </x:c>
      <x:c r="K5" s="30" t="n">
        <x:v>-2.37</x:v>
      </x:c>
      <x:c r="L5" s="30" t="str">
        <x:v>S8;S11</x:v>
      </x:c>
      <x:c r="M5" s="30" t="str">
        <x:v>Close-to-close event window; not a causal proof.</x:v>
      </x:c>
      <x:c r="N5" s="30" t="n">
        <x:f>I5-J5</x:f>
        <x:v>-2.37</x:v>
      </x:c>
      <x:c r="O5" t="str">
        <x:v>04-21</x:v>
      </x:c>
      <x:c r="P5" t="n">
        <x:v>-2.37</x:v>
      </x:c>
    </x:row>
    <x:row r="6">
      <x:c r="A6" s="20" t="str">
        <x:v>2026-02-19</x:v>
      </x:c>
      <x:c r="B6" s="20" t="str">
        <x:v>$1.5bn senior unsecured revolver 披露</x:v>
      </x:c>
      <x:c r="C6" s="20" t="str">
        <x:v>liquidity</x:v>
      </x:c>
      <x:c r="D6" s="20" t="str">
        <x:v>after_close</x:v>
      </x:c>
      <x:c r="E6" s="20" t="str">
        <x:v>2026-02-19</x:v>
      </x:c>
      <x:c r="F6" s="30" t="str">
        <x:v>2026-02-20</x:v>
      </x:c>
      <x:c r="G6" s="30" t="n">
        <x:v>233.3</x:v>
      </x:c>
      <x:c r="H6" s="30" t="n">
        <x:v>241.88</x:v>
      </x:c>
      <x:c r="I6" s="30" t="n">
        <x:v>3.68</x:v>
      </x:c>
      <x:c r="J6" s="30" t="n">
        <x:v>2.14</x:v>
      </x:c>
      <x:c r="K6" s="30" t="n">
        <x:v>1.54</x:v>
      </x:c>
      <x:c r="L6" s="30" t="str">
        <x:v>S13;S11</x:v>
      </x:c>
      <x:c r="M6" s="30" t="str">
        <x:v>Close-to-close event window; not a causal proof.</x:v>
      </x:c>
      <x:c r="N6" s="30" t="n">
        <x:f>I6-J6</x:f>
        <x:v>1.54</x:v>
      </x:c>
      <x:c r="O6" t="str">
        <x:v>02-19</x:v>
      </x:c>
      <x:c r="P6" t="n">
        <x:v>1.54</x:v>
      </x:c>
    </x:row>
    <x:row r="7">
      <x:c r="A7" s="20" t="str">
        <x:v>2026-02-24</x:v>
      </x:c>
      <x:c r="B7" s="20" t="str">
        <x:v>FY2025/Q4 earnings + 2026 guidance</x:v>
      </x:c>
      <x:c r="C7" s="20" t="str">
        <x:v>earnings</x:v>
      </x:c>
      <x:c r="D7" s="20" t="str">
        <x:v>after_close</x:v>
      </x:c>
      <x:c r="E7" s="20" t="str">
        <x:v>2026-02-24</x:v>
      </x:c>
      <x:c r="F7" s="30" t="str">
        <x:v>2026-02-25</x:v>
      </x:c>
      <x:c r="G7" s="30" t="n">
        <x:v>243.21</x:v>
      </x:c>
      <x:c r="H7" s="30" t="n">
        <x:v>210.12</x:v>
      </x:c>
      <x:c r="I7" s="30" t="n">
        <x:v>-13.61</x:v>
      </x:c>
      <x:c r="J7" s="30" t="n">
        <x:v>-2.02</x:v>
      </x:c>
      <x:c r="K7" s="30" t="n">
        <x:v>-11.59</x:v>
      </x:c>
      <x:c r="L7" s="30" t="str">
        <x:v>S5;S11</x:v>
      </x:c>
      <x:c r="M7" s="30" t="str">
        <x:v>Close-to-close event window; not a causal proof.</x:v>
      </x:c>
      <x:c r="N7" s="30" t="n">
        <x:f>I7-J7</x:f>
        <x:v>-11.59</x:v>
      </x:c>
      <x:c r="O7" t="str">
        <x:v>02-24</x:v>
      </x:c>
      <x:c r="P7" t="n">
        <x:v>-11.59</x:v>
      </x:c>
    </x:row>
    <x:row r="8">
      <x:c r="A8" s="20" t="str">
        <x:v>2026-03-26</x:v>
      </x:c>
      <x:c r="B8" s="20" t="str">
        <x:v>USITC 启动 TOPCon Section 337 调查</x:v>
      </x:c>
      <x:c r="C8" s="20" t="str">
        <x:v>trade/IP</x:v>
      </x:c>
      <x:c r="D8" s="20" t="str">
        <x:v>intraday_or_before_close</x:v>
      </x:c>
      <x:c r="E8" s="20" t="str">
        <x:v>2026-03-25</x:v>
      </x:c>
      <x:c r="F8" s="30" t="str">
        <x:v>2026-03-26</x:v>
      </x:c>
      <x:c r="G8" s="30" t="n">
        <x:v>193.51</x:v>
      </x:c>
      <x:c r="H8" s="30" t="n">
        <x:v>185.83</x:v>
      </x:c>
      <x:c r="I8" s="30" t="n">
        <x:v>-3.97</x:v>
      </x:c>
      <x:c r="J8" s="30" t="n">
        <x:v>-3.09</x:v>
      </x:c>
      <x:c r="K8" s="30" t="n">
        <x:v>-0.88</x:v>
      </x:c>
      <x:c r="L8" s="30" t="str">
        <x:v>S10;S11</x:v>
      </x:c>
      <x:c r="M8" s="30" t="str">
        <x:v>Close-to-close event window; not a causal proof.</x:v>
      </x:c>
      <x:c r="N8" s="30" t="n">
        <x:f>I8-J8</x:f>
        <x:v>-0.8800000000000003</x:v>
      </x:c>
      <x:c r="O8" t="str">
        <x:v>03-26</x:v>
      </x:c>
      <x:c r="P8" t="n">
        <x:v>-0.88</x:v>
      </x:c>
    </x:row>
    <x:row r="9">
      <x:c r="A9" s="20" t="str">
        <x:v>2026-04-30</x:v>
      </x:c>
      <x:c r="B9" s="20" t="str">
        <x:v>Q1 2026 earnings，维持全年指引</x:v>
      </x:c>
      <x:c r="C9" s="20" t="str">
        <x:v>earnings</x:v>
      </x:c>
      <x:c r="D9" s="20" t="str">
        <x:v>after_close</x:v>
      </x:c>
      <x:c r="E9" s="20" t="str">
        <x:v>2026-04-30</x:v>
      </x:c>
      <x:c r="F9" s="30" t="str">
        <x:v>2026-05-01</x:v>
      </x:c>
      <x:c r="G9" s="30" t="n">
        <x:v>201.89</x:v>
      </x:c>
      <x:c r="H9" s="30" t="n">
        <x:v>211.71</x:v>
      </x:c>
      <x:c r="I9" s="30" t="n">
        <x:v>4.86</x:v>
      </x:c>
      <x:c r="J9" s="30" t="n">
        <x:v>1.47</x:v>
      </x:c>
      <x:c r="K9" s="30" t="n">
        <x:v>3.39</x:v>
      </x:c>
      <x:c r="L9" s="30" t="str">
        <x:v>S1;S11</x:v>
      </x:c>
      <x:c r="M9" s="30" t="str">
        <x:v>Close-to-close event window; not a causal proof.</x:v>
      </x:c>
      <x:c r="N9" s="30" t="n">
        <x:f>I9-J9</x:f>
        <x:v>3.3900000000000006</x:v>
      </x:c>
      <x:c r="O9" t="str">
        <x:v>04-30</x:v>
      </x:c>
      <x:c r="P9" t="n">
        <x:v>3.39</x:v>
      </x:c>
    </x:row>
    <x:row r="10">
      <x:c r="A10" s="20" t="str">
        <x:v>2026-05-27</x:v>
      </x:c>
      <x:c r="B10" s="20" t="str">
        <x:v>USITC 对中台晶硅电池/组件 sunset review 表态</x:v>
      </x:c>
      <x:c r="C10" s="20" t="str">
        <x:v>trade policy</x:v>
      </x:c>
      <x:c r="D10" s="20" t="str">
        <x:v>intraday_or_before_close</x:v>
      </x:c>
      <x:c r="E10" s="20" t="str">
        <x:v>2026-05-26</x:v>
      </x:c>
      <x:c r="F10" s="30" t="str">
        <x:v>2026-05-27</x:v>
      </x:c>
      <x:c r="G10" s="30" t="n">
        <x:v>269.95</x:v>
      </x:c>
      <x:c r="H10" s="30" t="n">
        <x:v>273.67</x:v>
      </x:c>
      <x:c r="I10" s="30" t="n">
        <x:v>1.38</x:v>
      </x:c>
      <x:c r="J10" s="30" t="n">
        <x:v>2.25</x:v>
      </x:c>
      <x:c r="K10" s="30" t="n">
        <x:v>-0.87</x:v>
      </x:c>
      <x:c r="L10" s="30" t="str">
        <x:v>S14;S11</x:v>
      </x:c>
      <x:c r="M10" s="30" t="str">
        <x:v>Close-to-close event window; not a causal proof.</x:v>
      </x:c>
      <x:c r="N10" s="30" t="n">
        <x:f>I10-J10</x:f>
        <x:v>-0.8700000000000001</x:v>
      </x:c>
      <x:c r="O10" t="str">
        <x:v>05-27</x:v>
      </x:c>
      <x:c r="P10" t="n">
        <x:v>-0.87</x:v>
      </x:c>
    </x:row>
    <x:row r="11">
      <x:c r="A11" s="2"/>
      <x:c r="B11" s="2"/>
      <x:c r="C11" s="2"/>
      <x:c r="D11" s="2"/>
      <x:c r="E11" s="2"/>
      <x:c r="F11" s="22"/>
      <x:c r="G11" s="22"/>
      <x:c r="H11" s="22"/>
      <x:c r="I11" s="22"/>
      <x:c r="J11" s="22"/>
      <x:c r="K11" s="22"/>
      <x:c r="L11" s="22"/>
      <x:c r="M11" s="22"/>
      <x:c r="N11" s="22"/>
    </x:row>
    <x:row r="12">
      <x:c r="A12" s="2"/>
      <x:c r="B12" s="2"/>
      <x:c r="C12" s="2"/>
      <x:c r="D12" s="2"/>
      <x:c r="E12" s="2"/>
      <x:c r="F12" s="22"/>
      <x:c r="G12" s="22"/>
      <x:c r="H12" s="22"/>
      <x:c r="I12" s="22"/>
      <x:c r="J12" s="22"/>
      <x:c r="K12" s="22"/>
      <x:c r="L12" s="22"/>
      <x:c r="M12" s="22"/>
      <x:c r="N12" s="22"/>
    </x:row>
    <x:row r="13">
      <x:c r="A13" s="2"/>
      <x:c r="B13" s="2"/>
      <x:c r="C13" s="2"/>
      <x:c r="D13" s="2"/>
      <x:c r="E13" s="2"/>
      <x:c r="F13" s="22"/>
      <x:c r="G13" s="22"/>
      <x:c r="H13" s="22"/>
      <x:c r="I13" s="22"/>
      <x:c r="J13" s="22"/>
      <x:c r="K13" s="22"/>
      <x:c r="L13" s="22"/>
      <x:c r="M13" s="22"/>
      <x:c r="N13" s="22"/>
    </x:row>
    <x:row r="14">
      <x:c r="A14" s="2"/>
      <x:c r="B14" s="2"/>
      <x:c r="C14" s="2"/>
      <x:c r="D14" s="2"/>
      <x:c r="E14" s="2"/>
      <x:c r="F14" s="22"/>
      <x:c r="G14" s="22"/>
      <x:c r="H14" s="22"/>
      <x:c r="I14" s="22"/>
      <x:c r="J14" s="22"/>
      <x:c r="K14" s="22"/>
      <x:c r="L14" s="22"/>
      <x:c r="M14" s="22"/>
      <x:c r="N14" s="22"/>
    </x:row>
    <x:row r="15">
      <x:c r="A15" s="2"/>
      <x:c r="B15" s="2"/>
      <x:c r="C15" s="2"/>
      <x:c r="D15" s="2"/>
      <x:c r="E15" s="2"/>
      <x:c r="F15" s="22"/>
      <x:c r="G15" s="22"/>
      <x:c r="H15" s="22"/>
      <x:c r="I15" s="22"/>
      <x:c r="J15" s="22"/>
      <x:c r="K15" s="22"/>
      <x:c r="L15" s="22"/>
      <x:c r="M15" s="22"/>
      <x:c r="N15" s="22"/>
    </x:row>
    <x:row r="16">
      <x:c r="A16" s="2"/>
      <x:c r="B16" s="2"/>
      <x:c r="C16" s="2"/>
      <x:c r="D16" s="2"/>
      <x:c r="E16" s="2"/>
      <x:c r="F16" s="22"/>
      <x:c r="G16" s="22"/>
      <x:c r="H16" s="22"/>
      <x:c r="I16" s="22"/>
      <x:c r="J16" s="22"/>
      <x:c r="K16" s="22"/>
      <x:c r="L16" s="22"/>
      <x:c r="M16" s="22"/>
      <x:c r="N16" s="22"/>
    </x:row>
    <x:row r="17">
      <x:c r="A17" s="2"/>
      <x:c r="B17" s="2"/>
      <x:c r="C17" s="2"/>
      <x:c r="D17" s="2"/>
      <x:c r="E17" s="2"/>
      <x:c r="F17" s="22"/>
      <x:c r="G17" s="22"/>
      <x:c r="H17" s="22"/>
      <x:c r="I17" s="22"/>
      <x:c r="J17" s="22"/>
      <x:c r="K17" s="22"/>
      <x:c r="L17" s="22"/>
      <x:c r="M17" s="22"/>
      <x:c r="N17" s="22"/>
    </x:row>
    <x:row r="18">
      <x:c r="A18" s="2"/>
      <x:c r="B18" s="2"/>
      <x:c r="C18" s="2"/>
      <x:c r="D18" s="2"/>
      <x:c r="E18" s="2"/>
      <x:c r="F18" s="22"/>
      <x:c r="G18" s="22"/>
      <x:c r="H18" s="22"/>
      <x:c r="I18" s="22"/>
      <x:c r="J18" s="22"/>
      <x:c r="K18" s="22"/>
      <x:c r="L18" s="22"/>
      <x:c r="M18" s="22"/>
      <x:c r="N18" s="22"/>
    </x:row>
    <x:row r="19">
      <x:c r="A19" s="2"/>
      <x:c r="B19" s="2"/>
      <x:c r="C19" s="2"/>
      <x:c r="D19" s="2"/>
      <x:c r="E19" s="2"/>
      <x:c r="F19" s="22"/>
      <x:c r="G19" s="22"/>
      <x:c r="H19" s="22"/>
      <x:c r="I19" s="22"/>
      <x:c r="J19" s="22"/>
      <x:c r="K19" s="22"/>
      <x:c r="L19" s="22"/>
      <x:c r="M19" s="22"/>
      <x:c r="N19" s="22"/>
    </x:row>
    <x:row r="20">
      <x:c r="A20" s="2"/>
      <x:c r="B20" s="2"/>
      <x:c r="C20" s="2"/>
      <x:c r="D20" s="2"/>
      <x:c r="E20" s="2"/>
      <x:c r="F20" s="22"/>
      <x:c r="G20" s="22"/>
      <x:c r="H20" s="22"/>
      <x:c r="I20" s="22"/>
      <x:c r="J20" s="22"/>
      <x:c r="K20" s="22"/>
      <x:c r="L20" s="22"/>
      <x:c r="M20" s="22"/>
      <x:c r="N20" s="2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841eba6ed14b4da6"/>
  <x:tableParts count="1">
    <x:tablePart xmlns:r="http://schemas.openxmlformats.org/officeDocument/2006/relationships" r:id="R0abccec0cd3b44d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23.75" hidden="0" customWidth="1"/>
    <x:col min="3" max="3" width="16.25" hidden="0" customWidth="1"/>
    <x:col min="4" max="4" width="16.25" hidden="0" customWidth="1"/>
    <x:col min="5" max="5" width="16.25" hidden="0" customWidth="1"/>
    <x:col min="6" max="6" width="16.25" hidden="0" customWidth="1"/>
    <x:col min="7" max="7" width="16.25" hidden="0" customWidth="1"/>
    <x:col min="8" max="8" width="16.25" hidden="0" customWidth="1"/>
    <x:col min="9" max="9" width="16.25" hidden="0" customWidth="1"/>
    <x:col min="10" max="10" width="16.25" hidden="0" customWidth="1"/>
    <x:col min="11" max="11" width="16.25" hidden="0" customWidth="1"/>
    <x:col min="12" max="12" width="16.25" hidden="0" customWidth="1"/>
    <x:col min="13" max="13" width="16.25" hidden="0" customWidth="1"/>
    <x:col min="14" max="14" width="16.25" hidden="0" customWidth="1"/>
  </x:cols>
  <x:sheetData>
    <x:row r="1">
      <x:c r="A1" s="4" t="str">
        <x:v>Catalysts / Policy / Risks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>
      <x:c r="A2" s="6" t="str">
        <x:v>政策、监管、贸易、执行和资产负债表跟踪。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>
      <x:c r="A4" s="19" t="str">
        <x:v>date_or_window</x:v>
      </x:c>
      <x:c r="B4" s="19" t="str">
        <x:v>category</x:v>
      </x:c>
      <x:c r="C4" s="19" t="str">
        <x:v>item</x:v>
      </x:c>
      <x:c r="D4" s="19" t="str">
        <x:v>status</x:v>
      </x:c>
      <x:c r="E4" s="19" t="str">
        <x:v>why_it_matters</x:v>
      </x:c>
      <x:c r="F4" s="19" t="str">
        <x:v>monitor</x:v>
      </x:c>
      <x:c r="G4" s="19" t="str">
        <x:v>risk_level</x:v>
      </x:c>
      <x:c r="H4" s="19" t="str">
        <x:v>source_id</x:v>
      </x:c>
      <x:c r="I4" s="2"/>
      <x:c r="J4" s="2"/>
      <x:c r="K4" s="2"/>
      <x:c r="L4" s="2"/>
      <x:c r="M4" s="2"/>
      <x:c r="N4" s="2"/>
    </x:row>
    <x:row r="5">
      <x:c r="A5" s="20" t="str">
        <x:v>2026</x:v>
      </x:c>
      <x:c r="B5" s="20" t="str">
        <x:v>Policy</x:v>
      </x:c>
      <x:c r="C5" s="20" t="str">
        <x:v>45X advanced manufacturing production credit</x:v>
      </x:c>
      <x:c r="D5" s="20" t="str">
        <x:v>Active but politically sensitive</x:v>
      </x:c>
      <x:c r="E5" s="20" t="str">
        <x:v>Q1 2026 gross margin includes large 45X benefit; FY2026 guide embeds about $2.145bn 45X credit.</x:v>
      </x:c>
      <x:c r="F5" s="20" t="str">
        <x:v>IRS/Treasury guidance, OBBBA transition rules, company disclosure of credit recognition/cash tax.</x:v>
      </x:c>
      <x:c r="G5" s="20" t="str">
        <x:v>High</x:v>
      </x:c>
      <x:c r="H5" s="20" t="str">
        <x:v>S3;S6;S7</x:v>
      </x:c>
      <x:c r="I5" s="2"/>
      <x:c r="J5" s="2"/>
      <x:c r="K5" s="2"/>
      <x:c r="L5" s="2"/>
      <x:c r="M5" s="2"/>
      <x:c r="N5" s="2"/>
    </x:row>
    <x:row r="6">
      <x:c r="A6" s="20" t="str">
        <x:v>2026 H2</x:v>
      </x:c>
      <x:c r="B6" s="20" t="str">
        <x:v>Trade</x:v>
      </x:c>
      <x:c r="C6" s="20" t="str">
        <x:v>Section 232 polysilicon/derivatives and related tariff actions</x:v>
      </x:c>
      <x:c r="D6" s="20" t="str">
        <x:v>Open policy path</x:v>
      </x:c>
      <x:c r="E6" s="20" t="str">
        <x:v>Could widen price umbrella for U.S.-made modules, but can also raise input/project costs.</x:v>
      </x:c>
      <x:c r="F6" s="20" t="str">
        <x:v>BIS/Commerce determinations, tariff rate, exemptions and effective dates.</x:v>
      </x:c>
      <x:c r="G6" s="20" t="str">
        <x:v>High</x:v>
      </x:c>
      <x:c r="H6" s="20" t="str">
        <x:v>S9</x:v>
      </x:c>
      <x:c r="I6" s="2"/>
      <x:c r="J6" s="2"/>
      <x:c r="K6" s="2"/>
      <x:c r="L6" s="2"/>
      <x:c r="M6" s="2"/>
      <x:c r="N6" s="2"/>
    </x:row>
    <x:row r="7">
      <x:c r="A7" s="20" t="str">
        <x:v>2026</x:v>
      </x:c>
      <x:c r="B7" s="20" t="str">
        <x:v>Trade/IP</x:v>
      </x:c>
      <x:c r="C7" s="20" t="str">
        <x:v>TOPCon Section 337 / patent-import disputes</x:v>
      </x:c>
      <x:c r="D7" s="20" t="str">
        <x:v>Investigative docket</x:v>
      </x:c>
      <x:c r="E7" s="20" t="str">
        <x:v>Could pressure imported crystalline competitors and improve FSLR relative positioning; legal outcomes are uncertain.</x:v>
      </x:c>
      <x:c r="F7" s="20" t="str">
        <x:v>USITC procedural schedule, initial determination, settlement/licensing.</x:v>
      </x:c>
      <x:c r="G7" s="20" t="str">
        <x:v>Medium</x:v>
      </x:c>
      <x:c r="H7" s="20" t="str">
        <x:v>S10</x:v>
      </x:c>
      <x:c r="I7" s="2"/>
      <x:c r="J7" s="2"/>
      <x:c r="K7" s="2"/>
      <x:c r="L7" s="2"/>
      <x:c r="M7" s="2"/>
      <x:c r="N7" s="2"/>
    </x:row>
    <x:row r="8">
      <x:c r="A8" s="20" t="str">
        <x:v>2026-2027</x:v>
      </x:c>
      <x:c r="B8" s="20" t="str">
        <x:v>Demand</x:v>
      </x:c>
      <x:c r="C8" s="20" t="str">
        <x:v>U.S. utility-scale solar and data-center power demand</x:v>
      </x:c>
      <x:c r="D8" s="20" t="str">
        <x:v>Core demand driver</x:v>
      </x:c>
      <x:c r="E8" s="20" t="str">
        <x:v>Backlog is strong but incremental bookings and ASP decide whether 2027-2029 revenue bridge is credible.</x:v>
      </x:c>
      <x:c r="F8" s="20" t="str">
        <x:v>New contracts GW, backlog ASP, cancellation/termination disclosures, interconnection delays.</x:v>
      </x:c>
      <x:c r="G8" s="20" t="str">
        <x:v>High</x:v>
      </x:c>
      <x:c r="H8" s="20" t="str">
        <x:v>S1;S3;S4</x:v>
      </x:c>
      <x:c r="I8" s="2"/>
      <x:c r="J8" s="2"/>
      <x:c r="K8" s="2"/>
      <x:c r="L8" s="2"/>
      <x:c r="M8" s="2"/>
      <x:c r="N8" s="2"/>
    </x:row>
    <x:row r="9">
      <x:c r="A9" s="20" t="str">
        <x:v>2026-2028</x:v>
      </x:c>
      <x:c r="B9" s="20" t="str">
        <x:v>Execution</x:v>
      </x:c>
      <x:c r="C9" s="20" t="str">
        <x:v>Alabama/Louisiana/India capacity ramp and CuRe transition</x:v>
      </x:c>
      <x:c r="D9" s="20" t="str">
        <x:v>Execution in progress</x:v>
      </x:c>
      <x:c r="E9" s="20" t="str">
        <x:v>FSLR's premium multiple requires clean execution, higher efficiency and unit-cost progress.</x:v>
      </x:c>
      <x:c r="F9" s="20" t="str">
        <x:v>Production GW, throughput, warranty claims, capex, module efficiency roadmap.</x:v>
      </x:c>
      <x:c r="G9" s="20" t="str">
        <x:v>Medium</x:v>
      </x:c>
      <x:c r="H9" s="20" t="str">
        <x:v>S2;S3;S4</x:v>
      </x:c>
      <x:c r="I9" s="2"/>
      <x:c r="J9" s="2"/>
      <x:c r="K9" s="2"/>
      <x:c r="L9" s="2"/>
      <x:c r="M9" s="2"/>
      <x:c r="N9" s="2"/>
    </x:row>
    <x:row r="10">
      <x:c r="A10" s="20" t="str">
        <x:v>Ongoing</x:v>
      </x:c>
      <x:c r="B10" s="20" t="str">
        <x:v>Balance sheet</x:v>
      </x:c>
      <x:c r="C10" s="20" t="str">
        <x:v>$1.5bn revolver and net cash</x:v>
      </x:c>
      <x:c r="D10" s="20" t="str">
        <x:v>Strong liquidity</x:v>
      </x:c>
      <x:c r="E10" s="20" t="str">
        <x:v>Net cash reduces downside and funds capacity; working capital swings can still move quarterly FCF.</x:v>
      </x:c>
      <x:c r="F10" s="20" t="str">
        <x:v>Net cash, revolver draw, operating cash flow and capex.</x:v>
      </x:c>
      <x:c r="G10" s="20" t="str">
        <x:v>Low/Medium</x:v>
      </x:c>
      <x:c r="H10" s="20" t="str">
        <x:v>S1;S2;S13</x:v>
      </x:c>
      <x:c r="I10" s="2"/>
      <x:c r="J10" s="2"/>
      <x:c r="K10" s="2"/>
      <x:c r="L10" s="2"/>
      <x:c r="M10" s="2"/>
      <x:c r="N10" s="2"/>
    </x:row>
    <x:row r="1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83dfd2ea077e465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23.75" hidden="0" customWidth="1"/>
    <x:col min="3" max="3" width="16.25" hidden="0" customWidth="1"/>
    <x:col min="4" max="4" width="16.25" hidden="0" customWidth="1"/>
    <x:col min="5" max="5" width="16.25" hidden="0" customWidth="1"/>
    <x:col min="6" max="6" width="16.25" hidden="0" customWidth="1"/>
    <x:col min="7" max="7" width="16.25" hidden="0" customWidth="1"/>
    <x:col min="8" max="8" width="16.25" hidden="0" customWidth="1"/>
    <x:col min="9" max="9" width="16.25" hidden="0" customWidth="1"/>
    <x:col min="10" max="10" width="16.25" hidden="0" customWidth="1"/>
    <x:col min="11" max="11" width="16.25" hidden="0" customWidth="1"/>
    <x:col min="12" max="12" width="16.25" hidden="0" customWidth="1"/>
    <x:col min="13" max="13" width="16.25" hidden="0" customWidth="1"/>
    <x:col min="14" max="14" width="16.25" hidden="0" customWidth="1"/>
  </x:cols>
  <x:sheetData>
    <x:row r="1">
      <x:c r="A1" s="4" t="str">
        <x:v>Research Path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>
      <x:c r="A2" s="6" t="str">
        <x:v>关键问题、为什么重要、下一步看什么数据。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>
      <x:c r="A4" s="19" t="str">
        <x:v>key_question</x:v>
      </x:c>
      <x:c r="B4" s="19" t="str">
        <x:v>why_it_matters</x:v>
      </x:c>
      <x:c r="C4" s="19" t="str">
        <x:v>data_to_track</x:v>
      </x:c>
      <x:c r="D4" s="19" t="str">
        <x:v>threshold_or_signpost</x:v>
      </x:c>
      <x:c r="E4" s="19" t="str">
        <x:v>current_read</x:v>
      </x:c>
      <x:c r="F4" s="19" t="str">
        <x:v>source_id</x:v>
      </x:c>
      <x:c r="G4" s="2"/>
      <x:c r="H4" s="2"/>
      <x:c r="I4" s="2"/>
      <x:c r="J4" s="2"/>
      <x:c r="K4" s="2"/>
      <x:c r="L4" s="2"/>
      <x:c r="M4" s="2"/>
      <x:c r="N4" s="2"/>
    </x:row>
    <x:row r="5">
      <x:c r="A5" s="20" t="str">
        <x:v>FSLR 现在贵不贵？</x:v>
      </x:c>
      <x:c r="B5" s="20" t="str">
        <x:v>当前股价已接近基本情景，继续上行要靠 earnings power 抬升或估值倍数扩张。</x:v>
      </x:c>
      <x:c r="C5" s="20" t="str">
        <x:v>FY2026 EBITDA midpoint vs actual run-rate; EV/FY2026 EBITDA; TTM EPS; net cash.</x:v>
      </x:c>
      <x:c r="D5" s="20" t="str">
        <x:v>EV/FY2026 EBITDA &lt;9x 且 backlog ASP 稳定更适合分批；&gt;11-12x 需要明确政策/订单催化。</x:v>
      </x:c>
      <x:c r="E5" s="20" t="str">
        <x:v>约 10.8x EV/FY2026 EBITDA midpoint；接近基本情景。</x:v>
      </x:c>
      <x:c r="F5" s="20" t="str">
        <x:v>S1;S3;S11;S12</x:v>
      </x:c>
      <x:c r="G5" s="2"/>
      <x:c r="H5" s="2"/>
      <x:c r="I5" s="2"/>
      <x:c r="J5" s="2"/>
      <x:c r="K5" s="2"/>
      <x:c r="L5" s="2"/>
      <x:c r="M5" s="2"/>
      <x:c r="N5" s="2"/>
    </x:row>
    <x:row r="6">
      <x:c r="A6" s="20" t="str">
        <x:v>backlog 是护城河还是峰值订单？</x:v>
      </x:c>
      <x:c r="B6" s="20" t="str">
        <x:v>47.9GW/$14.4bn 说明可见度强，但股票看的是新增订单价格和交付质量。</x:v>
      </x:c>
      <x:c r="C6" s="20" t="str">
        <x:v>Net bookings GW, backlog value, backlog ASP, cancellations, delivery years.</x:v>
      </x:c>
      <x:c r="D6" s="20" t="str">
        <x:v>新增 bookings ASP 接近或高于 $0.30/W，且 2027-2029 交付不断档。</x:v>
      </x:c>
      <x:c r="E6" s="20" t="str">
        <x:v>Q1 后 backlog ASP 约 $0.30/W；YTD bookings 3.7GW。</x:v>
      </x:c>
      <x:c r="F6" s="20" t="str">
        <x:v>S1;S3</x:v>
      </x:c>
      <x:c r="G6" s="2"/>
      <x:c r="H6" s="2"/>
      <x:c r="I6" s="2"/>
      <x:c r="J6" s="2"/>
      <x:c r="K6" s="2"/>
      <x:c r="L6" s="2"/>
      <x:c r="M6" s="2"/>
      <x:c r="N6" s="2"/>
    </x:row>
    <x:row r="7">
      <x:c r="A7" s="20" t="str">
        <x:v>45X 是否是可持续 earnings，还是会被折价？</x:v>
      </x:c>
      <x:c r="B7" s="20" t="str">
        <x:v>45X 是 margin 和现金流的重要变量，政策折现率决定估值倍数。</x:v>
      </x:c>
      <x:c r="C7" s="20" t="str">
        <x:v>45X recognized, cash realization, IRS/Treasury rules, PFE/FEOC restrictions.</x:v>
      </x:c>
      <x:c r="D7" s="20" t="str">
        <x:v>规则稳定且公司披露现金化路径清晰，可降低市场折价。</x:v>
      </x:c>
      <x:c r="E7" s="20" t="str">
        <x:v>FY2026 guide embeds about $2.145bn 45X credit；政策敏感度高。</x:v>
      </x:c>
      <x:c r="F7" s="20" t="str">
        <x:v>S3;S6;S7</x:v>
      </x:c>
      <x:c r="G7" s="2"/>
      <x:c r="H7" s="2"/>
      <x:c r="I7" s="2"/>
      <x:c r="J7" s="2"/>
      <x:c r="K7" s="2"/>
      <x:c r="L7" s="2"/>
      <x:c r="M7" s="2"/>
      <x:c r="N7" s="2"/>
    </x:row>
    <x:row r="8">
      <x:c r="A8" s="20" t="str">
        <x:v>贸易保护是增量利好还是需求破坏？</x:v>
      </x:c>
      <x:c r="B8" s="20" t="str">
        <x:v>关税/IP 限制能提高进口对手成本，但过高组件价格也会压制项目经济性。</x:v>
      </x:c>
      <x:c r="C8" s="20" t="str">
        <x:v>Commerce/BIS/USITC actions, U.S. module prices, PPA economics, utility procurement.</x:v>
      </x:c>
      <x:c r="D8" s="20" t="str">
        <x:v>国内供应溢价上升但项目未明显推迟，是最优组合。</x:v>
      </x:c>
      <x:c r="E8" s="20" t="str">
        <x:v>AD/CVD、232、TOPCon 都是偏事件驱动变量。</x:v>
      </x:c>
      <x:c r="F8" s="20" t="str">
        <x:v>S8;S9;S10;S14</x:v>
      </x:c>
      <x:c r="G8" s="2"/>
      <x:c r="H8" s="2"/>
      <x:c r="I8" s="2"/>
      <x:c r="J8" s="2"/>
      <x:c r="K8" s="2"/>
      <x:c r="L8" s="2"/>
      <x:c r="M8" s="2"/>
      <x:c r="N8" s="2"/>
    </x:row>
    <x:row r="9">
      <x:c r="A9" s="20" t="str">
        <x:v>产能扩张能否兑现成自由现金流？</x:v>
      </x:c>
      <x:c r="B9" s="20" t="str">
        <x:v>增长股要从 capex 周期切到 FCF 周期才更容易重估。</x:v>
      </x:c>
      <x:c r="C9" s="20" t="str">
        <x:v>Production GW, sold GW, capex, OCF, inventory, warranty, efficiency.</x:v>
      </x:c>
      <x:c r="D9" s="20" t="str">
        <x:v>OCF &gt; capex 的季度持续出现，同时产能利用率上行。</x:v>
      </x:c>
      <x:c r="E9" s="20" t="str">
        <x:v>2025 OCF $2.06bn，capex $0.87bn；Q1 2026 OCF 为负，仍有季节性和营运资本波动。</x:v>
      </x:c>
      <x:c r="F9" s="20" t="str">
        <x:v>S2;S3;S4</x:v>
      </x:c>
      <x:c r="G9" s="2"/>
      <x:c r="H9" s="2"/>
      <x:c r="I9" s="2"/>
      <x:c r="J9" s="2"/>
      <x:c r="K9" s="2"/>
      <x:c r="L9" s="2"/>
      <x:c r="M9" s="2"/>
      <x:c r="N9" s="2"/>
    </x:row>
    <x:row r="10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</x:row>
    <x:row r="1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9bc14d2f1ebd4fa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23.75" hidden="0" customWidth="1"/>
    <x:col min="3" max="3" width="16.25" hidden="0" customWidth="1"/>
    <x:col min="4" max="4" width="16.25" hidden="0" customWidth="1"/>
    <x:col min="5" max="5" width="16.25" hidden="0" customWidth="1"/>
    <x:col min="6" max="6" width="16.25" hidden="0" customWidth="1"/>
    <x:col min="7" max="7" width="16.25" hidden="0" customWidth="1"/>
    <x:col min="8" max="8" width="16.25" hidden="0" customWidth="1"/>
    <x:col min="9" max="9" width="16.25" hidden="0" customWidth="1"/>
    <x:col min="10" max="10" width="16.25" hidden="0" customWidth="1"/>
    <x:col min="11" max="11" width="16.25" hidden="0" customWidth="1"/>
    <x:col min="12" max="12" width="16.25" hidden="0" customWidth="1"/>
    <x:col min="13" max="13" width="16.25" hidden="0" customWidth="1"/>
    <x:col min="14" max="14" width="16.25" hidden="0" customWidth="1"/>
  </x:cols>
  <x:sheetData>
    <x:row r="1">
      <x:c r="A1" s="4" t="str">
        <x:v>Sources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>
      <x:c r="A2" s="6" t="str">
        <x:v>一手来源优先；每个数据表均通过 source_id 映射。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>
      <x:c r="A4" s="19" t="str">
        <x:v>source_id</x:v>
      </x:c>
      <x:c r="B4" s="19" t="str">
        <x:v>title</x:v>
      </x:c>
      <x:c r="C4" s="19" t="str">
        <x:v>publisher</x:v>
      </x:c>
      <x:c r="D4" s="19" t="str">
        <x:v>date</x:v>
      </x:c>
      <x:c r="E4" s="19" t="str">
        <x:v>url</x:v>
      </x:c>
      <x:c r="F4" s="19" t="str">
        <x:v>source_type</x:v>
      </x:c>
      <x:c r="G4" s="19" t="str">
        <x:v>used_for</x:v>
      </x:c>
      <x:c r="H4" s="19" t="str">
        <x:v>quality</x:v>
      </x:c>
      <x:c r="I4" s="2"/>
      <x:c r="J4" s="2"/>
      <x:c r="K4" s="2"/>
      <x:c r="L4" s="2"/>
      <x:c r="M4" s="2"/>
      <x:c r="N4" s="2"/>
    </x:row>
    <x:row r="5">
      <x:c r="A5" s="20" t="str">
        <x:v>S1</x:v>
      </x:c>
      <x:c r="B5" s="20" t="str">
        <x:v>First Solar Q1 2026 earnings release, furnished as SEC 8-K Exhibit 99.1</x:v>
      </x:c>
      <x:c r="C5" s="20" t="str">
        <x:v>First Solar / SEC</x:v>
      </x:c>
      <x:c r="D5" s="20" t="str">
        <x:v>2026-04-30</x:v>
      </x:c>
      <x:c r="E5" s="20" t="str">
        <x:v>https://www.sec.gov/Archives/edgar/data/1274494/000127449426000108/ex991pressreleaseq1-2026.htm</x:v>
      </x:c>
      <x:c r="F5" s="20" t="str">
        <x:v>company filing</x:v>
      </x:c>
      <x:c r="G5" s="20" t="str">
        <x:v>Q1 revenue, EPS, EBITDA, cash, debt, guidance, backlog</x:v>
      </x:c>
      <x:c r="H5" s="20" t="str">
        <x:v>primary</x:v>
      </x:c>
      <x:c r="I5" s="2"/>
      <x:c r="J5" s="2"/>
      <x:c r="K5" s="2"/>
      <x:c r="L5" s="2"/>
      <x:c r="M5" s="2"/>
      <x:c r="N5" s="2"/>
    </x:row>
    <x:row r="6">
      <x:c r="A6" s="20" t="str">
        <x:v>S2</x:v>
      </x:c>
      <x:c r="B6" s="20" t="str">
        <x:v>First Solar Form 10-Q for quarter ended March 31, 2026</x:v>
      </x:c>
      <x:c r="C6" s="20" t="str">
        <x:v>SEC</x:v>
      </x:c>
      <x:c r="D6" s="20" t="str">
        <x:v>2026-04-30</x:v>
      </x:c>
      <x:c r="E6" s="20" t="str">
        <x:v>https://www.sec.gov/Archives/edgar/data/1274494/000127449426000109/fslr-20260331.htm</x:v>
      </x:c>
      <x:c r="F6" s="20" t="str">
        <x:v>SEC filing</x:v>
      </x:c>
      <x:c r="G6" s="20" t="str">
        <x:v>Q1 financial statements, capacity and policy-risk wording</x:v>
      </x:c>
      <x:c r="H6" s="20" t="str">
        <x:v>primary</x:v>
      </x:c>
      <x:c r="I6" s="2"/>
      <x:c r="J6" s="2"/>
      <x:c r="K6" s="2"/>
      <x:c r="L6" s="2"/>
      <x:c r="M6" s="2"/>
      <x:c r="N6" s="2"/>
    </x:row>
    <x:row r="7">
      <x:c r="A7" s="20" t="str">
        <x:v>S3</x:v>
      </x:c>
      <x:c r="B7" s="20" t="str">
        <x:v>First Solar Q1 2026 earnings presentation</x:v>
      </x:c>
      <x:c r="C7" s="20" t="str">
        <x:v>First Solar</x:v>
      </x:c>
      <x:c r="D7" s="20" t="str">
        <x:v>2026-04-30</x:v>
      </x:c>
      <x:c r="E7" s="20" t="str">
        <x:v>https://s202.q4cdn.com/499595574/files/doc_financials/2026/q1/Q1-26-Earnings-Presentation-vf-Secured.pdf</x:v>
      </x:c>
      <x:c r="F7" s="20" t="str">
        <x:v>company presentation</x:v>
      </x:c>
      <x:c r="G7" s="20" t="str">
        <x:v>bookings, backlog, guide ranges, capacity, 45X guide, shipment and sales volume</x:v>
      </x:c>
      <x:c r="H7" s="20" t="str">
        <x:v>primary</x:v>
      </x:c>
      <x:c r="I7" s="2"/>
      <x:c r="J7" s="2"/>
      <x:c r="K7" s="2"/>
      <x:c r="L7" s="2"/>
      <x:c r="M7" s="2"/>
      <x:c r="N7" s="2"/>
    </x:row>
    <x:row r="8">
      <x:c r="A8" s="20" t="str">
        <x:v>S4</x:v>
      </x:c>
      <x:c r="B8" s="20" t="str">
        <x:v>First Solar Form 10-K for fiscal year 2025</x:v>
      </x:c>
      <x:c r="C8" s="20" t="str">
        <x:v>SEC</x:v>
      </x:c>
      <x:c r="D8" s="20" t="str">
        <x:v>2026-02-24</x:v>
      </x:c>
      <x:c r="E8" s="20" t="str">
        <x:v>https://www.sec.gov/Archives/edgar/data/1274494/000127449426000021/fslr-20251231.htm</x:v>
      </x:c>
      <x:c r="F8" s="20" t="str">
        <x:v>SEC filing</x:v>
      </x:c>
      <x:c r="G8" s="20" t="str">
        <x:v>FY2023-FY2025 financials, cash flow, operating drivers</x:v>
      </x:c>
      <x:c r="H8" s="20" t="str">
        <x:v>primary</x:v>
      </x:c>
      <x:c r="I8" s="2"/>
      <x:c r="J8" s="2"/>
      <x:c r="K8" s="2"/>
      <x:c r="L8" s="2"/>
      <x:c r="M8" s="2"/>
      <x:c r="N8" s="2"/>
    </x:row>
    <x:row r="9">
      <x:c r="A9" s="20" t="str">
        <x:v>S5</x:v>
      </x:c>
      <x:c r="B9" s="20" t="str">
        <x:v>First Solar Q4/FY2025 earnings release, furnished as SEC 8-K Exhibit 99.1</x:v>
      </x:c>
      <x:c r="C9" s="20" t="str">
        <x:v>First Solar / SEC</x:v>
      </x:c>
      <x:c r="D9" s="20" t="str">
        <x:v>2026-02-24</x:v>
      </x:c>
      <x:c r="E9" s="20" t="str">
        <x:v>https://www.sec.gov/Archives/edgar/data/1274494/000127449426000020/ex991pressreleaseq4-2025fi.htm</x:v>
      </x:c>
      <x:c r="F9" s="20" t="str">
        <x:v>company filing</x:v>
      </x:c>
      <x:c r="G9" s="20" t="str">
        <x:v>FY2025 results, 2026 guide baseline, year-end backlog</x:v>
      </x:c>
      <x:c r="H9" s="20" t="str">
        <x:v>primary</x:v>
      </x:c>
      <x:c r="I9" s="2"/>
      <x:c r="J9" s="2"/>
      <x:c r="K9" s="2"/>
      <x:c r="L9" s="2"/>
      <x:c r="M9" s="2"/>
      <x:c r="N9" s="2"/>
    </x:row>
    <x:row r="10">
      <x:c r="A10" s="20" t="str">
        <x:v>S6</x:v>
      </x:c>
      <x:c r="B10" s="20" t="str">
        <x:v>IRS final regulations for Section 45X advanced manufacturing production credit</x:v>
      </x:c>
      <x:c r="C10" s="20" t="str">
        <x:v>IRS</x:v>
      </x:c>
      <x:c r="D10" s="20" t="str">
        <x:v>2024-12-16</x:v>
      </x:c>
      <x:c r="E10" s="20" t="str">
        <x:v>https://www.irs.gov/irb/2024-51_IRB/index.html</x:v>
      </x:c>
      <x:c r="F10" s="20" t="str">
        <x:v>official policy</x:v>
      </x:c>
      <x:c r="G10" s="20" t="str">
        <x:v>45X credit qualification and solar module components</x:v>
      </x:c>
      <x:c r="H10" s="20" t="str">
        <x:v>primary</x:v>
      </x:c>
      <x:c r="I10" s="2"/>
      <x:c r="J10" s="2"/>
      <x:c r="K10" s="2"/>
      <x:c r="L10" s="2"/>
      <x:c r="M10" s="2"/>
      <x:c r="N10" s="2"/>
    </x:row>
    <x:row r="11">
      <x:c r="A11" s="20" t="str">
        <x:v>S7</x:v>
      </x:c>
      <x:c r="B11" s="20" t="str">
        <x:v>IRS clean energy provisions of the One Big Beautiful Bill Act</x:v>
      </x:c>
      <x:c r="C11" s="20" t="str">
        <x:v>IRS</x:v>
      </x:c>
      <x:c r="D11" s="20" t="str">
        <x:v>2025-08-28</x:v>
      </x:c>
      <x:c r="E11" s="20" t="str">
        <x:v>https://www.irs.gov/credits-deductions/one-big-beautiful-bill-act-provisions-for-individuals-and-businesses</x:v>
      </x:c>
      <x:c r="F11" s="20" t="str">
        <x:v>official policy</x:v>
      </x:c>
      <x:c r="G11" s="20" t="str">
        <x:v>post-OBBBA clean-energy-credit constraints and FEOC/PFE monitor</x:v>
      </x:c>
      <x:c r="H11" s="20" t="str">
        <x:v>primary</x:v>
      </x:c>
      <x:c r="I11" s="2"/>
      <x:c r="J11" s="2"/>
      <x:c r="K11" s="2"/>
      <x:c r="L11" s="2"/>
      <x:c r="M11" s="2"/>
      <x:c r="N11" s="2"/>
    </x:row>
    <x:row r="12">
      <x:c r="A12" s="20" t="str">
        <x:v>S8</x:v>
      </x:c>
      <x:c r="B12" s="20" t="str">
        <x:v>Commerce final determinations in solar cells from Cambodia, Malaysia, Thailand and Vietnam</x:v>
      </x:c>
      <x:c r="C12" s="20" t="str">
        <x:v>U.S. Department of Commerce</x:v>
      </x:c>
      <x:c r="D12" s="20" t="str">
        <x:v>2025-04-21</x:v>
      </x:c>
      <x:c r="E12" s="20" t="str">
        <x:v>https://www.trade.gov/press-release/us-department-commerce-announces-final-determinations-antidumping-and-countervailing</x:v>
      </x:c>
      <x:c r="F12" s="20" t="str">
        <x:v>official trade policy</x:v>
      </x:c>
      <x:c r="G12" s="20" t="str">
        <x:v>AD/CVD tariff risk and domestic supply-demand context</x:v>
      </x:c>
      <x:c r="H12" s="20" t="str">
        <x:v>primary</x:v>
      </x:c>
      <x:c r="I12" s="2"/>
      <x:c r="J12" s="2"/>
      <x:c r="K12" s="2"/>
      <x:c r="L12" s="2"/>
      <x:c r="M12" s="2"/>
      <x:c r="N12" s="2"/>
    </x:row>
    <x:row r="13">
      <x:c r="A13" s="20" t="str">
        <x:v>S9</x:v>
      </x:c>
      <x:c r="B13" s="20" t="str">
        <x:v>BIS Section 232 investigations page</x:v>
      </x:c>
      <x:c r="C13" s="20" t="str">
        <x:v>U.S. Bureau of Industry and Security</x:v>
      </x:c>
      <x:c r="D13" s="20" t="str">
        <x:v>2026-05-28</x:v>
      </x:c>
      <x:c r="E13" s="20" t="str">
        <x:v>https://www.bis.doc.gov/index.php/232</x:v>
      </x:c>
      <x:c r="F13" s="20" t="str">
        <x:v>official trade policy</x:v>
      </x:c>
      <x:c r="G13" s="20" t="str">
        <x:v>Section 232 polysilicon/derivatives status tracker</x:v>
      </x:c>
      <x:c r="H13" s="20" t="str">
        <x:v>primary</x:v>
      </x:c>
      <x:c r="I13" s="2"/>
      <x:c r="J13" s="2"/>
      <x:c r="K13" s="2"/>
      <x:c r="L13" s="2"/>
      <x:c r="M13" s="2"/>
      <x:c r="N13" s="2"/>
    </x:row>
    <x:row r="14">
      <x:c r="A14" s="20" t="str">
        <x:v>S10</x:v>
      </x:c>
      <x:c r="B14" s="20" t="str">
        <x:v>USITC Section 337 TOPCon solar cells investigation docket</x:v>
      </x:c>
      <x:c r="C14" s="20" t="str">
        <x:v>U.S. International Trade Commission</x:v>
      </x:c>
      <x:c r="D14" s="20" t="str">
        <x:v>2026-03-26</x:v>
      </x:c>
      <x:c r="E14" s="20" t="str">
        <x:v>https://www.usitc.gov/press_room/news_release/2026/er0326_67276.htm</x:v>
      </x:c>
      <x:c r="F14" s="20" t="str">
        <x:v>official litigation/regulatory</x:v>
      </x:c>
      <x:c r="G14" s="20" t="str">
        <x:v>patent/import catalyst and policy risk tracker</x:v>
      </x:c>
      <x:c r="H14" s="20" t="str">
        <x:v>primary</x:v>
      </x:c>
      <x:c r="I14" s="2"/>
      <x:c r="J14" s="2"/>
      <x:c r="K14" s="2"/>
      <x:c r="L14" s="2"/>
      <x:c r="M14" s="2"/>
      <x:c r="N14" s="2"/>
    </x:row>
    <x:row r="15">
      <x:c r="A15" s="20" t="str">
        <x:v>S11</x:v>
      </x:c>
      <x:c r="B15" s="20" t="str">
        <x:v>Yahoo Finance chart API and quote pages</x:v>
      </x:c>
      <x:c r="C15" s="20" t="str">
        <x:v>Yahoo Finance</x:v>
      </x:c>
      <x:c r="D15" s="20" t="str">
        <x:v>2026-05-28</x:v>
      </x:c>
      <x:c r="E15" s="20" t="str">
        <x:v>https://finance.yahoo.com/quote/FSLR</x:v>
      </x:c>
      <x:c r="F15" s="20" t="str">
        <x:v>market data</x:v>
      </x:c>
      <x:c r="G15" s="20" t="str">
        <x:v>current quote and event-window close-to-close market reactions</x:v>
      </x:c>
      <x:c r="H15" s="20" t="str">
        <x:v>market data</x:v>
      </x:c>
      <x:c r="I15" s="2"/>
      <x:c r="J15" s="2"/>
      <x:c r="K15" s="2"/>
      <x:c r="L15" s="2"/>
      <x:c r="M15" s="2"/>
      <x:c r="N15" s="2"/>
    </x:row>
    <x:row r="16">
      <x:c r="A16" s="20" t="str">
        <x:v>S12</x:v>
      </x:c>
      <x:c r="B16" s="20" t="str">
        <x:v>StockAnalysis valuation statistics pages</x:v>
      </x:c>
      <x:c r="C16" s="20" t="str">
        <x:v>StockAnalysis</x:v>
      </x:c>
      <x:c r="D16" s="20" t="str">
        <x:v>2026-05-28</x:v>
      </x:c>
      <x:c r="E16" s="20" t="str">
        <x:v>https://stockanalysis.com/stocks/fslr/statistics/</x:v>
      </x:c>
      <x:c r="F16" s="20" t="str">
        <x:v>secondary market data</x:v>
      </x:c>
      <x:c r="G16" s="20" t="str">
        <x:v>market cap, EV, peer valuation snapshots</x:v>
      </x:c>
      <x:c r="H16" s="20" t="str">
        <x:v>secondary</x:v>
      </x:c>
      <x:c r="I16" s="2"/>
      <x:c r="J16" s="2"/>
      <x:c r="K16" s="2"/>
      <x:c r="L16" s="2"/>
      <x:c r="M16" s="2"/>
      <x:c r="N16" s="2"/>
    </x:row>
    <x:row r="17">
      <x:c r="A17" s="20" t="str">
        <x:v>S13</x:v>
      </x:c>
      <x:c r="B17" s="20" t="str">
        <x:v>First Solar 8-K: $1.5B senior unsecured revolving credit facility</x:v>
      </x:c>
      <x:c r="C17" s="20" t="str">
        <x:v>SEC</x:v>
      </x:c>
      <x:c r="D17" s="20" t="str">
        <x:v>2026-02-19</x:v>
      </x:c>
      <x:c r="E17" s="20" t="str">
        <x:v>https://www.sec.gov/Archives/edgar/data/1274494/000127449426000016/fslr-20260213.htm</x:v>
      </x:c>
      <x:c r="F17" s="20" t="str">
        <x:v>SEC filing</x:v>
      </x:c>
      <x:c r="G17" s="20" t="str">
        <x:v>liquidity and balance-sheet catalyst</x:v>
      </x:c>
      <x:c r="H17" s="20" t="str">
        <x:v>primary</x:v>
      </x:c>
      <x:c r="I17" s="2"/>
      <x:c r="J17" s="2"/>
      <x:c r="K17" s="2"/>
      <x:c r="L17" s="2"/>
      <x:c r="M17" s="2"/>
      <x:c r="N17" s="2"/>
    </x:row>
    <x:row r="18">
      <x:c r="A18" s="20" t="str">
        <x:v>S14</x:v>
      </x:c>
      <x:c r="B18" s="20" t="str">
        <x:v>USITC sunset reviews: crystalline silicon photovoltaic cells and modules from China and Taiwan</x:v>
      </x:c>
      <x:c r="C18" s="20" t="str">
        <x:v>U.S. International Trade Commission</x:v>
      </x:c>
      <x:c r="D18" s="20" t="str">
        <x:v>2026-05-27</x:v>
      </x:c>
      <x:c r="E18" s="20" t="str">
        <x:v>https://www.usitc.gov/press_room/news_release/2026/er0527_67584.htm</x:v>
      </x:c>
      <x:c r="F18" s="20" t="str">
        <x:v>official trade policy</x:v>
      </x:c>
      <x:c r="G18" s="20" t="str">
        <x:v>tariff continuation catalyst</x:v>
      </x:c>
      <x:c r="H18" s="20" t="str">
        <x:v>primary</x:v>
      </x:c>
      <x:c r="I18" s="2"/>
      <x:c r="J18" s="2"/>
      <x:c r="K18" s="2"/>
      <x:c r="L18" s="2"/>
      <x:c r="M18" s="2"/>
      <x:c r="N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b32f7c2a01dc423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23.75" hidden="0" customWidth="1"/>
    <x:col min="3" max="3" width="16.25" hidden="0" customWidth="1"/>
    <x:col min="4" max="4" width="16.25" hidden="0" customWidth="1"/>
    <x:col min="5" max="5" width="16.25" hidden="0" customWidth="1"/>
    <x:col min="6" max="6" width="16.25" hidden="0" customWidth="1"/>
    <x:col min="7" max="7" width="16.25" hidden="0" customWidth="1"/>
    <x:col min="8" max="8" width="16.25" hidden="0" customWidth="1"/>
    <x:col min="9" max="9" width="16.25" hidden="0" customWidth="1"/>
    <x:col min="10" max="10" width="16.25" hidden="0" customWidth="1"/>
    <x:col min="11" max="11" width="16.25" hidden="0" customWidth="1"/>
    <x:col min="12" max="12" width="16.25" hidden="0" customWidth="1"/>
    <x:col min="13" max="13" width="16.25" hidden="0" customWidth="1"/>
    <x:col min="14" max="14" width="16.25" hidden="0" customWidth="1"/>
  </x:cols>
  <x:sheetData>
    <x:row r="1">
      <x:c r="A1" s="4" t="str">
        <x:v>Checks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>
      <x:c r="A2" s="6" t="str">
        <x:v>Sanity checks：公式、来源、口径和空值。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>
      <x:c r="A4" s="7" t="str">
        <x:v>Check</x:v>
      </x:c>
      <x:c r="B4" s="7" t="str">
        <x:v>Formula result</x:v>
      </x:c>
      <x:c r="C4" s="7" t="str">
        <x:v>Status</x:v>
      </x:c>
      <x:c r="D4" s="7" t="str">
        <x:v>Notes</x:v>
      </x:c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>
      <x:c r="A5" s="2" t="str">
        <x:v>Q1 revenue YoY ties to release</x:v>
      </x:c>
      <x:c r="B5" s="2" t="b">
        <x:f>ABS(('Financials KPIs'!H5/'Financials KPIs'!G5-1)-0.236)&lt;0.02</x:f>
        <x:v>1</x:v>
      </x:c>
      <x:c r="C5" s="2" t="str">
        <x:f>IF(B5,"OK","CHECK")</x:f>
        <x:v>OK</x:v>
      </x:c>
      <x:c r="D5" s="2" t="str">
        <x:v>Expected about 24%</x:v>
      </x:c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>
      <x:c r="A6" s="2" t="str">
        <x:v>Gross margin recalculates from Q1 revenue/gross profit</x:v>
      </x:c>
      <x:c r="B6" s="2" t="b">
        <x:f>ABS(('Financials KPIs'!H6/'Financials KPIs'!H5*100)-'Financials KPIs'!H7)&lt;0.1</x:f>
        <x:v>1</x:v>
      </x:c>
      <x:c r="C6" s="2" t="str">
        <x:f>IF(B6,"OK","CHECK")</x:f>
        <x:v>OK</x:v>
      </x:c>
      <x:c r="D6" s="2" t="str">
        <x:v>Q1 2026 gross margin should be about 46.6%</x:v>
      </x:c>
      <x:c r="E6" s="2"/>
      <x:c r="F6" s="2"/>
      <x:c r="G6" s="2"/>
      <x:c r="H6" s="2"/>
      <x:c r="I6" s="2"/>
      <x:c r="J6" s="2"/>
      <x:c r="K6" s="2"/>
      <x:c r="L6" s="2"/>
      <x:c r="M6" s="2"/>
      <x:c r="N6" s="2"/>
    </x:row>
    <x:row r="7">
      <x:c r="A7" s="2" t="str">
        <x:v>EV equals market cap minus net cash</x:v>
      </x:c>
      <x:c r="B7" s="2" t="b">
        <x:f>ABS(Valuation!B9-(Valuation!B7-Valuation!B8))&lt;0.01</x:f>
        <x:v>1</x:v>
      </x:c>
      <x:c r="C7" s="2" t="str">
        <x:f>IF(B7,"OK","CHECK")</x:f>
        <x:v>OK</x:v>
      </x:c>
      <x:c r="D7" s="2" t="str">
        <x:v>Valuation formula cross-check</x:v>
      </x:c>
      <x:c r="E7" s="2"/>
      <x:c r="F7" s="2"/>
      <x:c r="G7" s="2"/>
      <x:c r="H7" s="2"/>
      <x:c r="I7" s="2"/>
      <x:c r="J7" s="2"/>
      <x:c r="K7" s="2"/>
      <x:c r="L7" s="2"/>
      <x:c r="M7" s="2"/>
      <x:c r="N7" s="2"/>
    </x:row>
    <x:row r="8">
      <x:c r="A8" s="2" t="str">
        <x:v>Backlog ASP equals backlog value / backlog GW</x:v>
      </x:c>
      <x:c r="B8" s="2" t="b">
        <x:f>ABS(Valuation!B18-(Valuation!B17/Valuation!B16))&lt;0.001</x:f>
        <x:v>1</x:v>
      </x:c>
      <x:c r="C8" s="2" t="str">
        <x:f>IF(B8,"OK","CHECK")</x:f>
        <x:v>OK</x:v>
      </x:c>
      <x:c r="D8" s="2" t="str">
        <x:v>Backlog value is USD bn; GW maps to $/W</x:v>
      </x:c>
      <x:c r="E8" s="2"/>
      <x:c r="F8" s="2"/>
      <x:c r="G8" s="2"/>
      <x:c r="H8" s="2"/>
      <x:c r="I8" s="2"/>
      <x:c r="J8" s="2"/>
      <x:c r="K8" s="2"/>
      <x:c r="L8" s="2"/>
      <x:c r="M8" s="2"/>
      <x:c r="N8" s="2"/>
    </x:row>
    <x:row r="9">
      <x:c r="A9" s="2" t="str">
        <x:v>Source count &gt;= 12</x:v>
      </x:c>
      <x:c r="B9" s="2" t="b">
        <x:f>COUNTA(Sources!A5:A50)&gt;=12</x:f>
        <x:v>1</x:v>
      </x:c>
      <x:c r="C9" s="2" t="str">
        <x:f>IF(B9,"OK","CHECK")</x:f>
        <x:v>OK</x:v>
      </x:c>
      <x:c r="D9" s="2" t="str">
        <x:v>Coverage and citation sanity check</x:v>
      </x:c>
      <x:c r="E9" s="2"/>
      <x:c r="F9" s="2"/>
      <x:c r="G9" s="2"/>
      <x:c r="H9" s="2"/>
      <x:c r="I9" s="2"/>
      <x:c r="J9" s="2"/>
      <x:c r="K9" s="2"/>
      <x:c r="L9" s="2"/>
      <x:c r="M9" s="2"/>
      <x:c r="N9" s="2"/>
    </x:row>
    <x:row r="10">
      <x:c r="A10" s="2" t="str">
        <x:v>Critical valuation inputs are nonblank</x:v>
      </x:c>
      <x:c r="B10" s="2" t="b">
        <x:f>COUNTBLANK(Valuation!B5:B18)=0</x:f>
        <x:v>1</x:v>
      </x:c>
      <x:c r="C10" s="2" t="str">
        <x:f>IF(B10,"OK","CHECK")</x:f>
        <x:v>OK</x:v>
      </x:c>
      <x:c r="D10" s="2" t="str">
        <x:v>Avoid silent blank-driven formulas</x:v>
      </x:c>
      <x:c r="E10" s="2"/>
      <x:c r="F10" s="2"/>
      <x:c r="G10" s="2"/>
      <x:c r="H10" s="2"/>
      <x:c r="I10" s="2"/>
      <x:c r="J10" s="2"/>
      <x:c r="K10" s="2"/>
      <x:c r="L10" s="2"/>
      <x:c r="M10" s="2"/>
      <x:c r="N10" s="2"/>
    </x:row>
    <x:row r="11">
      <x:c r="A11" s="2" t="str">
        <x:v>Market reaction alpha formula ties</x:v>
      </x:c>
      <x:c r="B11" s="2" t="b">
        <x:f>ABS('Market Reaction'!N5-('Market Reaction'!I5-'Market Reaction'!J5))&lt;0.01</x:f>
        <x:v>1</x:v>
      </x:c>
      <x:c r="C11" s="2" t="str">
        <x:f>IF(B11,"OK","CHECK")</x:f>
        <x:v>OK</x:v>
      </x:c>
      <x:c r="D11" s="2" t="str">
        <x:v>alpha = FSLR return - TAN return</x:v>
      </x:c>
      <x:c r="E11" s="2"/>
      <x:c r="F11" s="2"/>
      <x:c r="G11" s="2"/>
      <x:c r="H11" s="2"/>
      <x:c r="I11" s="2"/>
      <x:c r="J11" s="2"/>
      <x:c r="K11" s="2"/>
      <x:c r="L11" s="2"/>
      <x:c r="M11" s="2"/>
      <x:c r="N11" s="2"/>
    </x:row>
    <x:row r="12">
      <x:c r="A12" s="2" t="str">
        <x:v>FY2026 EBITDA midpoint is $2.7bn</x:v>
      </x:c>
      <x:c r="B12" s="2" t="b">
        <x:f>ABS(Valuation!B11-2.7)&lt;0.001</x:f>
        <x:v>1</x:v>
      </x:c>
      <x:c r="C12" s="2" t="str">
        <x:f>IF(B12,"OK","CHECK")</x:f>
        <x:v>OK</x:v>
      </x:c>
      <x:c r="D12" s="2" t="str">
        <x:v>From $2.6-$2.8bn guidance</x:v>
      </x:c>
      <x:c r="E12" s="2"/>
      <x:c r="F12" s="2"/>
      <x:c r="G12" s="2"/>
      <x:c r="H12" s="2"/>
      <x:c r="I12" s="2"/>
      <x:c r="J12" s="2"/>
      <x:c r="K12" s="2"/>
      <x:c r="L12" s="2"/>
      <x:c r="M12" s="2"/>
      <x:c r="N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</x:row>
  </x:sheetData>
  <x:mergeCells>
    <x:mergeCell ref="A1:H1"/>
    <x:mergeCell ref="A2:H2"/>
  </x:mergeCells>
  <x:pageMargins left="0.7" right="0.7" top="0.75" bottom="0.75" header="0.3" footer="0.3"/>
</x:worksheet>
</file>